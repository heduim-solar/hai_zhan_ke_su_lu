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 activeTab="6"/>
  </bookViews>
  <sheets>
    <sheet name="船身.ts" sheetId="4" r:id="rId1"/>
    <sheet name="甲板.ts" sheetId="10" r:id="rId2"/>
    <sheet name="马达.ts" sheetId="9" r:id="rId3"/>
    <sheet name="炮弹.ts" sheetId="8" r:id="rId4"/>
    <sheet name="船头.ts" sheetId="7" r:id="rId5"/>
    <sheet name="船帆.ts" sheetId="6" r:id="rId6"/>
    <sheet name="桅杆.ts" sheetId="5" r:id="rId7"/>
    <sheet name="修理工.ts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<sst xmlns="http://schemas.openxmlformats.org/spreadsheetml/2006/main" count="571" uniqueCount="222">
  <si>
    <t>自定义id</t>
  </si>
  <si>
    <t>类别
&lt;%
import ActorTypeUtil from "@/ActorTypeUtil";
    for (let datum of data) {
        if (datum.id) {
            ActorTypeUtil.registerActorType(datum as any);
        }
    }
%&gt;</t>
  </si>
  <si>
    <t>是否被动(不可点击的装备)</t>
  </si>
  <si>
    <t>名字</t>
  </si>
  <si>
    <t>提示说明</t>
  </si>
  <si>
    <t>图标</t>
  </si>
  <si>
    <t>金币消耗</t>
  </si>
  <si>
    <t>木材消耗</t>
  </si>
  <si>
    <t>是否可抵押</t>
  </si>
  <si>
    <t>属性附加</t>
  </si>
  <si>
    <t>id</t>
  </si>
  <si>
    <t>class</t>
  </si>
  <si>
    <t xml:space="preserve"> passive</t>
  </si>
  <si>
    <t>name</t>
  </si>
  <si>
    <t>describe</t>
  </si>
  <si>
    <t>icon</t>
  </si>
  <si>
    <t>goldCost</t>
  </si>
  <si>
    <t>lumberCost</t>
  </si>
  <si>
    <t>pawnable</t>
  </si>
  <si>
    <t>attribute{life</t>
  </si>
  <si>
    <t>damage_reduction}</t>
  </si>
  <si>
    <t>船身Lv1</t>
  </si>
  <si>
    <t>基础属性装备</t>
  </si>
  <si>
    <t>${id}</t>
  </si>
  <si>
    <t>生命值+${attribute.life}</t>
  </si>
  <si>
    <t>物品图标\船身\船身1.blp</t>
  </si>
  <si>
    <t>船身Lv2</t>
  </si>
  <si>
    <t>物品图标\船身\船身2.blp</t>
  </si>
  <si>
    <t>船身Lv3</t>
  </si>
  <si>
    <t>物品图标\船身\船身3.blp</t>
  </si>
  <si>
    <t>船身Lv4</t>
  </si>
  <si>
    <t>物品图标\船身\船身4.blp</t>
  </si>
  <si>
    <t>船身Lv5</t>
  </si>
  <si>
    <t>物品图标\船身\船身5.blp</t>
  </si>
  <si>
    <t>船身Lv6</t>
  </si>
  <si>
    <t>物品图标\船身\船身6.blp</t>
  </si>
  <si>
    <t>船身Lv7</t>
  </si>
  <si>
    <t>物品图标\船身\船身7.blp</t>
  </si>
  <si>
    <t>船身Lv8</t>
  </si>
  <si>
    <t>物品图标\船身\船身8.blp</t>
  </si>
  <si>
    <t>船身Lv9</t>
  </si>
  <si>
    <t>生命值+${attribute.life}
伤害减免+${R2P(attribute.damage_reduction)}</t>
  </si>
  <si>
    <t>物品图标\船身\船身9.blp</t>
  </si>
  <si>
    <t>船身Lv10</t>
  </si>
  <si>
    <t>生命值+${attribute.life}
伤害减免+${R2P(attribute.damage_reduction)}
|n|cffcccccc LV10船头+LV10桅杆+LV10船帆+lv10船身=【麦哲伦】|r</t>
  </si>
  <si>
    <t>物品图标\船身\船身10.blp</t>
  </si>
  <si>
    <t>attribute{def</t>
  </si>
  <si>
    <t>def_p}</t>
  </si>
  <si>
    <t>甲板Lv1</t>
  </si>
  <si>
    <t>护甲+${attribute.def}</t>
  </si>
  <si>
    <t>物品图标\甲板\甲板1.blp</t>
  </si>
  <si>
    <t>甲板Lv2</t>
  </si>
  <si>
    <t>物品图标\甲板\甲板2.blp</t>
  </si>
  <si>
    <t>甲板Lv3</t>
  </si>
  <si>
    <t>物品图标\甲板\甲板3.blp</t>
  </si>
  <si>
    <t>甲板Lv4</t>
  </si>
  <si>
    <t>物品图标\甲板\甲板4.blp</t>
  </si>
  <si>
    <t>甲板Lv5</t>
  </si>
  <si>
    <t>物品图标\甲板\甲板5.blp</t>
  </si>
  <si>
    <t>甲板Lv6</t>
  </si>
  <si>
    <t>物品图标\甲板\甲板6.blp</t>
  </si>
  <si>
    <t>甲板Lv7</t>
  </si>
  <si>
    <t>物品图标\甲板\甲板7.blp</t>
  </si>
  <si>
    <t>甲板Lv8</t>
  </si>
  <si>
    <t>物品图标\甲板\甲板8.blp</t>
  </si>
  <si>
    <t>甲板Lv9</t>
  </si>
  <si>
    <t xml:space="preserve">护甲+${attribute.def}
|n护甲+${R2P(attribute.def_p)} </t>
  </si>
  <si>
    <t>物品图标\甲板\甲板9.blp</t>
  </si>
  <si>
    <t>甲板Lv10</t>
  </si>
  <si>
    <t>护甲+${attribute.def}
|n护甲+${R2P(attribute.def_p)}|n
|cffcccccclv10炮弹x2++LV10甲板+制作书 = 白胡子|r</t>
  </si>
  <si>
    <t>物品图标\甲板\甲板10.blp</t>
  </si>
  <si>
    <t>attribute{move_speed</t>
  </si>
  <si>
    <t>full_property_p}</t>
  </si>
  <si>
    <t>马达Lv1</t>
  </si>
  <si>
    <t>移动速度+${attribute.move_speed}</t>
  </si>
  <si>
    <t>物品图标\马达\马达1.blp</t>
  </si>
  <si>
    <t>马达Lv2</t>
  </si>
  <si>
    <t>物品图标\马达\马达2.blp</t>
  </si>
  <si>
    <t>马达Lv3</t>
  </si>
  <si>
    <t>物品图标\马达\马达3.blp</t>
  </si>
  <si>
    <t>马达Lv4</t>
  </si>
  <si>
    <t>物品图标\马达\马达4.blp</t>
  </si>
  <si>
    <t>马达Lv5</t>
  </si>
  <si>
    <t>物品图标\马达\马达5.blp</t>
  </si>
  <si>
    <t>马达Lv6</t>
  </si>
  <si>
    <t>物品图标\马达\马达6.blp</t>
  </si>
  <si>
    <t>马达Lv7</t>
  </si>
  <si>
    <t>物品图标\马达\马达7.blp</t>
  </si>
  <si>
    <t>马达Lv8</t>
  </si>
  <si>
    <t>物品图标\马达\马达8.blp</t>
  </si>
  <si>
    <t>马达Lv9</t>
  </si>
  <si>
    <t>移动速度+${attribute.move_speed}
全属性+${R2P(attribute.full_property_p)}</t>
  </si>
  <si>
    <t>物品图标\马达\马达9.blp</t>
  </si>
  <si>
    <t>马达Lv10</t>
  </si>
  <si>
    <t>物品图标\马达\马达10.blp</t>
  </si>
  <si>
    <t>attribute{attack</t>
  </si>
  <si>
    <t>attack_p}</t>
  </si>
  <si>
    <t>炮弹Lv1</t>
  </si>
  <si>
    <t>攻击力+${attribute.attack}</t>
  </si>
  <si>
    <t>物品图标\炮弹\炮弹1.blp</t>
  </si>
  <si>
    <t>炮弹Lv2</t>
  </si>
  <si>
    <t>物品图标\炮弹\炮弹2.blp</t>
  </si>
  <si>
    <t>炮弹Lv3</t>
  </si>
  <si>
    <t>物品图标\炮弹\炮弹3.blp</t>
  </si>
  <si>
    <t>炮弹Lv4</t>
  </si>
  <si>
    <t>物品图标\炮弹\炮弹4.blp</t>
  </si>
  <si>
    <t>炮弹Lv5</t>
  </si>
  <si>
    <t>物品图标\炮弹\炮弹5.blp</t>
  </si>
  <si>
    <t>炮弹Lv6</t>
  </si>
  <si>
    <t>物品图标\炮弹\炮弹6.blp</t>
  </si>
  <si>
    <t>炮弹Lv7</t>
  </si>
  <si>
    <t>物品图标\炮弹\炮弹7.blp</t>
  </si>
  <si>
    <t>炮弹Lv8</t>
  </si>
  <si>
    <t>物品图标\炮弹\炮弹8.blp</t>
  </si>
  <si>
    <t>炮弹Lv9</t>
  </si>
  <si>
    <t>攻击力+${attribute.attack}
|n攻击力+${R2P(attribute.attack_p)}|n
 |n|cffcccccc炮弹Lv9 + 炮弹Lv9 = 炮弹Lv10</t>
  </si>
  <si>
    <t>物品图标\炮弹\炮弹9.blp</t>
  </si>
  <si>
    <t>炮弹Lv10</t>
  </si>
  <si>
    <t>攻击力+${attribute.attack}
|n攻击力+${R2P(attribute.attack_p)}|n
|cffcccccclv10炮弹x2++LV10甲板+制作书 = 白胡子|r
|n|cffcccccc天雷炮+lv10桅杆x2+lv10炮弹x2+制作书=【雷霆支配者】|r
|n|cffcccccc 破甲装置+致命炮+lv10炮弹=【两仪式】|r</t>
  </si>
  <si>
    <t>物品图标\炮弹\炮弹10.blp</t>
  </si>
  <si>
    <t>attribute{strength</t>
  </si>
  <si>
    <t>strength_p}</t>
  </si>
  <si>
    <t>船头Lv1</t>
  </si>
  <si>
    <t>力量+${attribute.strength}</t>
  </si>
  <si>
    <t>物品图标\船头\船头1.blp</t>
  </si>
  <si>
    <t>船头Lv2</t>
  </si>
  <si>
    <t>物品图标\船头\船头2.blp</t>
  </si>
  <si>
    <t>船头Lv3</t>
  </si>
  <si>
    <t>物品图标\船头\船头3.blp</t>
  </si>
  <si>
    <t>船头Lv4</t>
  </si>
  <si>
    <t>物品图标\船头\船头4.blp</t>
  </si>
  <si>
    <t>船头Lv5</t>
  </si>
  <si>
    <t>物品图标\船头\船头5.blp</t>
  </si>
  <si>
    <t>船头Lv6</t>
  </si>
  <si>
    <t>物品图标\船头\船头6.blp</t>
  </si>
  <si>
    <t>船头Lv7</t>
  </si>
  <si>
    <t>物品图标\船头\船头7.blp</t>
  </si>
  <si>
    <t>船头Lv8</t>
  </si>
  <si>
    <t>物品图标\船头\船头8.blp</t>
  </si>
  <si>
    <t>船头Lv9</t>
  </si>
  <si>
    <t>力量+${attribute.strength} 
|n力量+${R2P(attribute.strength_p)}|n
|n|cffcccccc船头Lv9 + 船头Lv9 = 船头Lv10</t>
  </si>
  <si>
    <t>物品图标\船头\船头9.blp</t>
  </si>
  <si>
    <t>船头Lv10</t>
  </si>
  <si>
    <t>力量+${attribute.strength}|n力量+${R2P(attribute.strength_p)}|n|cffccccccLV10船头+LV10桅杆+LV10船帆+喋血炮x2+合成书=黑胡子|r
|n|cffcccccc LV10船头+LV10桅杆+LV10船帆+lv10船身=【麦哲伦】|r</t>
  </si>
  <si>
    <t>物品图标\船头\船头10.blp</t>
  </si>
  <si>
    <t>attribute{agility</t>
  </si>
  <si>
    <t>agility_p}</t>
  </si>
  <si>
    <t>船帆Lv1</t>
  </si>
  <si>
    <t>敏捷+${attribute.agility}</t>
  </si>
  <si>
    <t>物品图标\船帆\船帆1.blp</t>
  </si>
  <si>
    <t>船帆Lv2</t>
  </si>
  <si>
    <t>物品图标\船帆\船帆2.blp</t>
  </si>
  <si>
    <t>船帆Lv3</t>
  </si>
  <si>
    <t>物品图标\船帆\船帆3.blp</t>
  </si>
  <si>
    <t>船帆Lv4</t>
  </si>
  <si>
    <t>物品图标\船帆\船帆4.blp</t>
  </si>
  <si>
    <t>船帆Lv5</t>
  </si>
  <si>
    <t>物品图标\船帆\船帆5.blp</t>
  </si>
  <si>
    <t>船帆Lv6</t>
  </si>
  <si>
    <t>物品图标\船帆\船帆6.blp</t>
  </si>
  <si>
    <t>船帆Lv7</t>
  </si>
  <si>
    <t>物品图标\船帆\船帆7.blp</t>
  </si>
  <si>
    <t>船帆Lv8</t>
  </si>
  <si>
    <t>物品图标\船帆\船帆8.blp</t>
  </si>
  <si>
    <t>船帆Lv9</t>
  </si>
  <si>
    <t>敏捷+${attribute.agility}
|n敏捷+${R2P(attribute.agility_p)}|n
 |n|cffcccccc船帆Lv9 + 船帆Lv9 = 船帆Lv10</t>
  </si>
  <si>
    <t>物品图标\船帆\船帆9.blp</t>
  </si>
  <si>
    <t>船帆Lv10</t>
  </si>
  <si>
    <t>敏捷+${attribute.agility}
|n敏捷+${R2P(attribute.agility_p)}|n
|n|cffccccccLV10船头+LV10桅杆+LV10船帆+喋血炮x2+合成书=黑胡子|r
|n|cffcccccc LV10船头+LV10桅杆+LV10船帆+lv10船身=【麦哲伦】|r
|n|cffcccccc 刮痧装置+lv10船帆x2+制作书=【小丑】|r</t>
  </si>
  <si>
    <t>物品图标\船帆\船帆10.blp</t>
  </si>
  <si>
    <t>attribute{intelligence</t>
  </si>
  <si>
    <t>intelligence_p}</t>
  </si>
  <si>
    <t>桅杆Lv1</t>
  </si>
  <si>
    <t>智力+${attribute.intelligence}</t>
  </si>
  <si>
    <t>物品图标\桅杆\桅杆1.blp</t>
  </si>
  <si>
    <t>桅杆Lv2</t>
  </si>
  <si>
    <t>物品图标\桅杆\桅杆2.blp</t>
  </si>
  <si>
    <t>桅杆Lv3</t>
  </si>
  <si>
    <t>物品图标\桅杆\桅杆3.blp</t>
  </si>
  <si>
    <t>桅杆Lv4</t>
  </si>
  <si>
    <t>物品图标\桅杆\桅杆4.blp</t>
  </si>
  <si>
    <t>桅杆Lv5</t>
  </si>
  <si>
    <t>物品图标\桅杆\桅杆5.blp</t>
  </si>
  <si>
    <t>桅杆Lv6</t>
  </si>
  <si>
    <t>物品图标\桅杆\桅杆6.blp</t>
  </si>
  <si>
    <t>桅杆Lv7</t>
  </si>
  <si>
    <t>物品图标\桅杆\桅杆7.blp</t>
  </si>
  <si>
    <t>桅杆Lv8</t>
  </si>
  <si>
    <t>物品图标\桅杆\桅杆8.blp</t>
  </si>
  <si>
    <t>桅杆Lv9</t>
  </si>
  <si>
    <t>智力+${attribute.intelligence} 
|n智力+${R2P(attribute.intelligence_p)}|n
|n|cffcccccc桅杆Lv9 + 桅杆Lv9 = 桅杆Lv10</t>
  </si>
  <si>
    <t>物品图标\桅杆\桅杆9.blp</t>
  </si>
  <si>
    <t>桅杆Lv10</t>
  </si>
  <si>
    <t>智力+${attribute.intelligence}
|n智力+${R2P(attribute.intelligence_p)}|n
|n|cffccccccLV10船头+LV10桅杆+LV10船帆+喋血炮x2+合成书=黑胡子|r
|n|cffcccccc天雷炮+lv10桅杆x2+lv10炮弹x2+制作书=【雷霆支配者】|r
|n|cffcccccc LV10船头+LV10桅杆+LV10船帆+lv10船身=【麦哲伦】|r</t>
  </si>
  <si>
    <t>物品图标\桅杆\桅杆10.blp</t>
  </si>
  <si>
    <t>冷却时间</t>
  </si>
  <si>
    <t>点击比例回血</t>
  </si>
  <si>
    <t>太阳属性附加</t>
  </si>
  <si>
    <t>maxCd</t>
  </si>
  <si>
    <t>reply_life_p</t>
  </si>
  <si>
    <t>attribute{reply_life_on_pers}</t>
  </si>
  <si>
    <t>修理工Lv1</t>
  </si>
  <si>
    <t>每秒恢复${attribute.reply_life_on_pers}点生命值
点击回血${R2P(reply_life_p)}最大值+50倍基础每秒恢复值</t>
  </si>
  <si>
    <t>物品图标\修理工\修理工1.blp</t>
  </si>
  <si>
    <t>修理工Lv2</t>
  </si>
  <si>
    <t>物品图标\修理工\修理工2.blp</t>
  </si>
  <si>
    <t>修理工Lv3</t>
  </si>
  <si>
    <t>物品图标\修理工\修理工3.blp</t>
  </si>
  <si>
    <t>修理工Lv4</t>
  </si>
  <si>
    <t>物品图标\修理工\修理工4.blp</t>
  </si>
  <si>
    <t>修理工Lv5</t>
  </si>
  <si>
    <t>物品图标\修理工\修理工5.blp</t>
  </si>
  <si>
    <t>修理工Lv6</t>
  </si>
  <si>
    <t>物品图标\修理工\修理工6.blp</t>
  </si>
  <si>
    <t>修理工Lv7</t>
  </si>
  <si>
    <t>物品图标\修理工\修理工7.blp</t>
  </si>
  <si>
    <t>修理工Lv8</t>
  </si>
  <si>
    <t>物品图标\修理工\修理工8.blp</t>
  </si>
  <si>
    <t>修理工Lv9</t>
  </si>
  <si>
    <t>物品图标\修理工\修理工9.blp</t>
  </si>
  <si>
    <t>修理工Lv10</t>
  </si>
  <si>
    <t>物品图标\修理工\修理工10.blp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</si>
</sst>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8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F15" sqref="F15"/>
    </sheetView>
  </sheetViews>
  <sheetFormatPr defaultColWidth="9" defaultRowHeight="13.5"/>
  <cols>
    <col min="1" max="1" width="9.76106194690266" customWidth="1"/>
    <col min="2" max="2" width="12.0884955752212" customWidth="1"/>
    <col min="3" max="3" width="14.212389380531" customWidth="1"/>
    <col min="4" max="4" width="15.8761061946903" customWidth="1"/>
    <col min="5" max="5" width="30.141592920354" customWidth="1"/>
    <col min="6" max="6" width="55.9557522123894" customWidth="1"/>
    <col min="9" max="9" width="10.5575221238938" customWidth="1"/>
    <col min="10" max="10" width="31.929203539823" customWidth="1"/>
    <col min="11" max="11" width="18.3893805309735" customWidth="1"/>
  </cols>
  <sheetData>
    <row r="1" ht="31" customHeight="1" spans="1:10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ht="17" customHeight="1" spans="1:10">
      <c r="A3" s="4" t="s">
        <v>21</v>
      </c>
      <c r="B3" s="4" t="s">
        <v>22</v>
      </c>
      <c r="C3" s="4" t="b">
        <v>1</v>
      </c>
      <c r="D3" s="4" t="s">
        <v>23</v>
      </c>
      <c r="E3" s="4" t="s">
        <v>24</v>
      </c>
      <c r="F3" s="4" t="s">
        <v>25</v>
      </c>
      <c r="G3" s="4">
        <f>J3*0.5</f>
        <v>50</v>
      </c>
      <c r="H3" s="4"/>
      <c r="I3" s="4">
        <v>1</v>
      </c>
      <c r="J3" s="4">
        <v>100</v>
      </c>
    </row>
    <row r="4" ht="17" customHeight="1" spans="1:10">
      <c r="A4" s="4" t="s">
        <v>26</v>
      </c>
      <c r="B4" s="4" t="s">
        <v>22</v>
      </c>
      <c r="C4" s="4" t="b">
        <v>1</v>
      </c>
      <c r="D4" s="4" t="s">
        <v>23</v>
      </c>
      <c r="E4" s="4" t="s">
        <v>24</v>
      </c>
      <c r="F4" s="4" t="s">
        <v>27</v>
      </c>
      <c r="G4" s="4">
        <f t="shared" ref="G4:G12" si="0">J4*0.5</f>
        <v>100</v>
      </c>
      <c r="H4" s="4"/>
      <c r="I4" s="4">
        <v>1</v>
      </c>
      <c r="J4" s="4">
        <f>J3*2</f>
        <v>200</v>
      </c>
    </row>
    <row r="5" ht="13.9" spans="1:10">
      <c r="A5" s="4" t="s">
        <v>28</v>
      </c>
      <c r="B5" s="4" t="s">
        <v>22</v>
      </c>
      <c r="C5" s="4" t="b">
        <v>1</v>
      </c>
      <c r="D5" s="4" t="s">
        <v>23</v>
      </c>
      <c r="E5" s="4" t="s">
        <v>24</v>
      </c>
      <c r="F5" s="4" t="s">
        <v>29</v>
      </c>
      <c r="G5" s="4">
        <f t="shared" si="0"/>
        <v>200</v>
      </c>
      <c r="H5" s="4"/>
      <c r="I5" s="4">
        <v>1</v>
      </c>
      <c r="J5" s="4">
        <f t="shared" ref="J5:J12" si="1">J4*2</f>
        <v>400</v>
      </c>
    </row>
    <row r="6" ht="13.9" spans="1:10">
      <c r="A6" s="4" t="s">
        <v>30</v>
      </c>
      <c r="B6" s="4" t="s">
        <v>22</v>
      </c>
      <c r="C6" s="4" t="b">
        <v>1</v>
      </c>
      <c r="D6" s="4" t="s">
        <v>23</v>
      </c>
      <c r="E6" s="4" t="s">
        <v>24</v>
      </c>
      <c r="F6" s="4" t="s">
        <v>31</v>
      </c>
      <c r="G6" s="4">
        <f t="shared" si="0"/>
        <v>400</v>
      </c>
      <c r="H6" s="4"/>
      <c r="I6" s="4">
        <v>1</v>
      </c>
      <c r="J6" s="4">
        <f t="shared" si="1"/>
        <v>800</v>
      </c>
    </row>
    <row r="7" ht="13.9" spans="1:10">
      <c r="A7" s="4" t="s">
        <v>32</v>
      </c>
      <c r="B7" s="4" t="s">
        <v>22</v>
      </c>
      <c r="C7" s="4" t="b">
        <v>1</v>
      </c>
      <c r="D7" s="4" t="s">
        <v>23</v>
      </c>
      <c r="E7" s="4" t="s">
        <v>24</v>
      </c>
      <c r="F7" s="4" t="s">
        <v>33</v>
      </c>
      <c r="G7" s="4">
        <f t="shared" si="0"/>
        <v>800</v>
      </c>
      <c r="H7" s="4"/>
      <c r="I7" s="4">
        <v>1</v>
      </c>
      <c r="J7" s="4">
        <f t="shared" si="1"/>
        <v>1600</v>
      </c>
    </row>
    <row r="8" ht="13.9" spans="1:10">
      <c r="A8" s="4" t="s">
        <v>34</v>
      </c>
      <c r="B8" s="4" t="s">
        <v>22</v>
      </c>
      <c r="C8" s="4" t="b">
        <v>1</v>
      </c>
      <c r="D8" s="4" t="s">
        <v>23</v>
      </c>
      <c r="E8" s="4" t="s">
        <v>24</v>
      </c>
      <c r="F8" s="4" t="s">
        <v>35</v>
      </c>
      <c r="G8" s="4">
        <f t="shared" si="0"/>
        <v>1600</v>
      </c>
      <c r="H8" s="4"/>
      <c r="I8" s="4">
        <v>1</v>
      </c>
      <c r="J8" s="4">
        <f t="shared" si="1"/>
        <v>3200</v>
      </c>
    </row>
    <row r="9" ht="13.9" spans="1:10">
      <c r="A9" s="4" t="s">
        <v>36</v>
      </c>
      <c r="B9" s="4" t="s">
        <v>22</v>
      </c>
      <c r="C9" s="4" t="b">
        <v>1</v>
      </c>
      <c r="D9" s="4" t="s">
        <v>23</v>
      </c>
      <c r="E9" s="4" t="s">
        <v>24</v>
      </c>
      <c r="F9" s="4" t="s">
        <v>37</v>
      </c>
      <c r="G9" s="4">
        <f t="shared" si="0"/>
        <v>3200</v>
      </c>
      <c r="H9" s="4"/>
      <c r="I9" s="4">
        <v>1</v>
      </c>
      <c r="J9" s="4">
        <f t="shared" si="1"/>
        <v>6400</v>
      </c>
    </row>
    <row r="10" ht="13.9" spans="1:10">
      <c r="A10" s="4" t="s">
        <v>38</v>
      </c>
      <c r="B10" s="4" t="s">
        <v>22</v>
      </c>
      <c r="C10" s="4" t="b">
        <v>1</v>
      </c>
      <c r="D10" s="4" t="s">
        <v>23</v>
      </c>
      <c r="E10" s="4" t="s">
        <v>24</v>
      </c>
      <c r="F10" s="4" t="s">
        <v>39</v>
      </c>
      <c r="G10" s="4">
        <f t="shared" si="0"/>
        <v>6400</v>
      </c>
      <c r="H10" s="4"/>
      <c r="I10" s="4">
        <v>1</v>
      </c>
      <c r="J10" s="4">
        <f t="shared" si="1"/>
        <v>12800</v>
      </c>
    </row>
    <row r="11" ht="55.5" spans="1:11">
      <c r="A11" s="4" t="s">
        <v>40</v>
      </c>
      <c r="B11" s="4" t="s">
        <v>22</v>
      </c>
      <c r="C11" s="4" t="b">
        <v>1</v>
      </c>
      <c r="D11" s="4" t="s">
        <v>23</v>
      </c>
      <c r="E11" s="4" t="s">
        <v>41</v>
      </c>
      <c r="F11" s="4" t="s">
        <v>42</v>
      </c>
      <c r="G11" s="4">
        <f t="shared" si="0"/>
        <v>12800</v>
      </c>
      <c r="H11" s="4"/>
      <c r="I11" s="4">
        <v>1</v>
      </c>
      <c r="J11" s="4">
        <f t="shared" si="1"/>
        <v>25600</v>
      </c>
      <c r="K11">
        <v>0.02</v>
      </c>
    </row>
    <row r="12" ht="83.25" spans="1:11">
      <c r="A12" s="4" t="s">
        <v>43</v>
      </c>
      <c r="B12" s="4" t="s">
        <v>22</v>
      </c>
      <c r="C12" s="4" t="b">
        <v>0</v>
      </c>
      <c r="D12" s="4" t="s">
        <v>23</v>
      </c>
      <c r="E12" s="4" t="s">
        <v>44</v>
      </c>
      <c r="F12" s="4" t="s">
        <v>45</v>
      </c>
      <c r="G12" s="4">
        <f t="shared" si="0"/>
        <v>25600</v>
      </c>
      <c r="H12" s="4"/>
      <c r="I12" s="4">
        <v>1</v>
      </c>
      <c r="J12" s="4">
        <f t="shared" si="1"/>
        <v>51200</v>
      </c>
      <c r="K12">
        <v>0.05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E16" sqref="E16"/>
    </sheetView>
  </sheetViews>
  <sheetFormatPr defaultColWidth="9" defaultRowHeight="13.5"/>
  <cols>
    <col min="1" max="1" width="9.76106194690266" customWidth="1"/>
    <col min="2" max="2" width="12.0884955752212" customWidth="1"/>
    <col min="3" max="3" width="14.212389380531" customWidth="1"/>
    <col min="4" max="4" width="15.8761061946903" customWidth="1"/>
    <col min="5" max="5" width="30.141592920354" customWidth="1"/>
    <col min="6" max="6" width="55.9557522123894" customWidth="1"/>
    <col min="9" max="9" width="10.5575221238938" customWidth="1"/>
    <col min="10" max="10" width="31.929203539823" customWidth="1"/>
  </cols>
  <sheetData>
    <row r="1" ht="31" customHeight="1" spans="1:10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46</v>
      </c>
      <c r="K2" t="s">
        <v>47</v>
      </c>
    </row>
    <row r="3" ht="17" customHeight="1" spans="1:10">
      <c r="A3" s="4" t="s">
        <v>48</v>
      </c>
      <c r="B3" s="4" t="s">
        <v>22</v>
      </c>
      <c r="C3" s="4" t="b">
        <v>1</v>
      </c>
      <c r="D3" s="4" t="s">
        <v>23</v>
      </c>
      <c r="E3" s="4" t="s">
        <v>49</v>
      </c>
      <c r="F3" s="4" t="s">
        <v>50</v>
      </c>
      <c r="G3" s="3">
        <v>100</v>
      </c>
      <c r="H3" s="4"/>
      <c r="I3" s="4">
        <v>1</v>
      </c>
      <c r="J3" s="3">
        <v>5</v>
      </c>
    </row>
    <row r="4" ht="17" customHeight="1" spans="1:10">
      <c r="A4" s="4" t="s">
        <v>51</v>
      </c>
      <c r="B4" s="4" t="s">
        <v>22</v>
      </c>
      <c r="C4" s="4" t="b">
        <v>1</v>
      </c>
      <c r="D4" s="4" t="s">
        <v>23</v>
      </c>
      <c r="E4" s="4" t="s">
        <v>49</v>
      </c>
      <c r="F4" s="4" t="s">
        <v>52</v>
      </c>
      <c r="G4" s="3">
        <v>500</v>
      </c>
      <c r="H4" s="4"/>
      <c r="I4" s="4">
        <v>1</v>
      </c>
      <c r="J4" s="3">
        <v>10</v>
      </c>
    </row>
    <row r="5" ht="13.9" spans="1:10">
      <c r="A5" s="4" t="s">
        <v>53</v>
      </c>
      <c r="B5" s="4" t="s">
        <v>22</v>
      </c>
      <c r="C5" s="4" t="b">
        <v>1</v>
      </c>
      <c r="D5" s="4" t="s">
        <v>23</v>
      </c>
      <c r="E5" s="4" t="s">
        <v>49</v>
      </c>
      <c r="F5" s="4" t="s">
        <v>54</v>
      </c>
      <c r="G5" s="3">
        <f>J5*50</f>
        <v>1000</v>
      </c>
      <c r="H5" s="4"/>
      <c r="I5" s="4">
        <v>1</v>
      </c>
      <c r="J5" s="3">
        <v>20</v>
      </c>
    </row>
    <row r="6" ht="13.9" spans="1:10">
      <c r="A6" s="4" t="s">
        <v>55</v>
      </c>
      <c r="B6" s="4" t="s">
        <v>22</v>
      </c>
      <c r="C6" s="4" t="b">
        <v>1</v>
      </c>
      <c r="D6" s="4" t="s">
        <v>23</v>
      </c>
      <c r="E6" s="4" t="s">
        <v>49</v>
      </c>
      <c r="F6" s="4" t="s">
        <v>56</v>
      </c>
      <c r="G6" s="3">
        <f t="shared" ref="G6:G12" si="0">J6*50</f>
        <v>1500</v>
      </c>
      <c r="H6" s="4"/>
      <c r="I6" s="4">
        <v>1</v>
      </c>
      <c r="J6" s="3">
        <v>30</v>
      </c>
    </row>
    <row r="7" ht="13.9" spans="1:10">
      <c r="A7" s="4" t="s">
        <v>57</v>
      </c>
      <c r="B7" s="4" t="s">
        <v>22</v>
      </c>
      <c r="C7" s="4" t="b">
        <v>1</v>
      </c>
      <c r="D7" s="4" t="s">
        <v>23</v>
      </c>
      <c r="E7" s="4" t="s">
        <v>49</v>
      </c>
      <c r="F7" s="4" t="s">
        <v>58</v>
      </c>
      <c r="G7" s="3">
        <f t="shared" si="0"/>
        <v>2500</v>
      </c>
      <c r="H7" s="4"/>
      <c r="I7" s="4">
        <v>1</v>
      </c>
      <c r="J7" s="3">
        <v>50</v>
      </c>
    </row>
    <row r="8" ht="13.9" spans="1:10">
      <c r="A8" s="4" t="s">
        <v>59</v>
      </c>
      <c r="B8" s="4" t="s">
        <v>22</v>
      </c>
      <c r="C8" s="4" t="b">
        <v>1</v>
      </c>
      <c r="D8" s="4" t="s">
        <v>23</v>
      </c>
      <c r="E8" s="4" t="s">
        <v>49</v>
      </c>
      <c r="F8" s="4" t="s">
        <v>60</v>
      </c>
      <c r="G8" s="3">
        <f t="shared" si="0"/>
        <v>3000</v>
      </c>
      <c r="H8" s="4"/>
      <c r="I8" s="4">
        <v>1</v>
      </c>
      <c r="J8" s="3">
        <v>60</v>
      </c>
    </row>
    <row r="9" ht="13.9" spans="1:10">
      <c r="A9" s="4" t="s">
        <v>61</v>
      </c>
      <c r="B9" s="4" t="s">
        <v>22</v>
      </c>
      <c r="C9" s="4" t="b">
        <v>1</v>
      </c>
      <c r="D9" s="4" t="s">
        <v>23</v>
      </c>
      <c r="E9" s="4" t="s">
        <v>49</v>
      </c>
      <c r="F9" s="4" t="s">
        <v>62</v>
      </c>
      <c r="G9" s="3">
        <f t="shared" si="0"/>
        <v>4000</v>
      </c>
      <c r="H9" s="4"/>
      <c r="I9" s="4">
        <v>1</v>
      </c>
      <c r="J9" s="3">
        <v>80</v>
      </c>
    </row>
    <row r="10" ht="13.9" spans="1:10">
      <c r="A10" s="4" t="s">
        <v>63</v>
      </c>
      <c r="B10" s="4" t="s">
        <v>22</v>
      </c>
      <c r="C10" s="4" t="b">
        <v>1</v>
      </c>
      <c r="D10" s="4" t="s">
        <v>23</v>
      </c>
      <c r="E10" s="4" t="s">
        <v>49</v>
      </c>
      <c r="F10" s="4" t="s">
        <v>64</v>
      </c>
      <c r="G10" s="3">
        <f t="shared" si="0"/>
        <v>5000</v>
      </c>
      <c r="H10" s="4"/>
      <c r="I10" s="4">
        <v>1</v>
      </c>
      <c r="J10" s="3">
        <v>100</v>
      </c>
    </row>
    <row r="11" ht="27.75" spans="1:11">
      <c r="A11" s="4" t="s">
        <v>65</v>
      </c>
      <c r="B11" s="4" t="s">
        <v>22</v>
      </c>
      <c r="C11" s="4" t="b">
        <v>1</v>
      </c>
      <c r="D11" s="4" t="s">
        <v>23</v>
      </c>
      <c r="E11" s="4" t="s">
        <v>66</v>
      </c>
      <c r="F11" s="4" t="s">
        <v>67</v>
      </c>
      <c r="G11" s="3">
        <f t="shared" si="0"/>
        <v>7500</v>
      </c>
      <c r="H11" s="4"/>
      <c r="I11" s="4">
        <v>1</v>
      </c>
      <c r="J11" s="3">
        <v>150</v>
      </c>
      <c r="K11">
        <v>0.1</v>
      </c>
    </row>
    <row r="12" ht="55.5" spans="1:11">
      <c r="A12" s="4" t="s">
        <v>68</v>
      </c>
      <c r="B12" s="4" t="s">
        <v>22</v>
      </c>
      <c r="C12" s="4" t="b">
        <v>0</v>
      </c>
      <c r="D12" s="4" t="s">
        <v>23</v>
      </c>
      <c r="E12" s="4" t="s">
        <v>69</v>
      </c>
      <c r="F12" s="4" t="s">
        <v>70</v>
      </c>
      <c r="G12" s="3">
        <f t="shared" si="0"/>
        <v>15000</v>
      </c>
      <c r="H12" s="4"/>
      <c r="I12" s="4">
        <v>1</v>
      </c>
      <c r="J12" s="3">
        <v>300</v>
      </c>
      <c r="K12">
        <v>0.2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E16" sqref="E16"/>
    </sheetView>
  </sheetViews>
  <sheetFormatPr defaultColWidth="9" defaultRowHeight="13.5"/>
  <cols>
    <col min="1" max="1" width="9.76106194690266" customWidth="1"/>
    <col min="2" max="2" width="12.0884955752212" customWidth="1"/>
    <col min="3" max="3" width="14.212389380531" customWidth="1"/>
    <col min="4" max="4" width="15.8761061946903" customWidth="1"/>
    <col min="5" max="5" width="46.070796460177" customWidth="1"/>
    <col min="6" max="6" width="55.9557522123894" customWidth="1"/>
    <col min="9" max="9" width="10.5575221238938" customWidth="1"/>
    <col min="10" max="10" width="31.929203539823" customWidth="1"/>
    <col min="11" max="11" width="21.9115044247788" customWidth="1"/>
  </cols>
  <sheetData>
    <row r="1" ht="31" customHeight="1" spans="1:10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71</v>
      </c>
      <c r="K2" t="s">
        <v>72</v>
      </c>
    </row>
    <row r="3" ht="17" customHeight="1" spans="1:10">
      <c r="A3" s="4" t="s">
        <v>73</v>
      </c>
      <c r="B3" s="4" t="s">
        <v>22</v>
      </c>
      <c r="C3" s="4" t="b">
        <v>1</v>
      </c>
      <c r="D3" s="4" t="s">
        <v>23</v>
      </c>
      <c r="E3" s="4" t="s">
        <v>74</v>
      </c>
      <c r="F3" s="4" t="s">
        <v>75</v>
      </c>
      <c r="G3" s="4">
        <f>J3*10</f>
        <v>200</v>
      </c>
      <c r="H3" s="4"/>
      <c r="I3" s="4">
        <v>1</v>
      </c>
      <c r="J3" s="3">
        <v>20</v>
      </c>
    </row>
    <row r="4" ht="17" customHeight="1" spans="1:10">
      <c r="A4" s="4" t="s">
        <v>76</v>
      </c>
      <c r="B4" s="4" t="s">
        <v>22</v>
      </c>
      <c r="C4" s="4" t="b">
        <v>1</v>
      </c>
      <c r="D4" s="4" t="s">
        <v>23</v>
      </c>
      <c r="E4" s="4" t="s">
        <v>74</v>
      </c>
      <c r="F4" s="4" t="s">
        <v>77</v>
      </c>
      <c r="G4" s="4">
        <f t="shared" ref="G4:G12" si="0">J4*10</f>
        <v>400</v>
      </c>
      <c r="H4" s="4"/>
      <c r="I4" s="4">
        <v>1</v>
      </c>
      <c r="J4" s="3">
        <v>40</v>
      </c>
    </row>
    <row r="5" ht="13.9" spans="1:10">
      <c r="A5" s="4" t="s">
        <v>78</v>
      </c>
      <c r="B5" s="4" t="s">
        <v>22</v>
      </c>
      <c r="C5" s="4" t="b">
        <v>1</v>
      </c>
      <c r="D5" s="4" t="s">
        <v>23</v>
      </c>
      <c r="E5" s="4" t="s">
        <v>74</v>
      </c>
      <c r="F5" s="4" t="s">
        <v>79</v>
      </c>
      <c r="G5" s="4">
        <f t="shared" si="0"/>
        <v>600</v>
      </c>
      <c r="H5" s="4"/>
      <c r="I5" s="4">
        <v>1</v>
      </c>
      <c r="J5" s="3">
        <v>60</v>
      </c>
    </row>
    <row r="6" ht="13.9" spans="1:10">
      <c r="A6" s="4" t="s">
        <v>80</v>
      </c>
      <c r="B6" s="4" t="s">
        <v>22</v>
      </c>
      <c r="C6" s="4" t="b">
        <v>1</v>
      </c>
      <c r="D6" s="4" t="s">
        <v>23</v>
      </c>
      <c r="E6" s="4" t="s">
        <v>74</v>
      </c>
      <c r="F6" s="4" t="s">
        <v>81</v>
      </c>
      <c r="G6" s="4">
        <f t="shared" si="0"/>
        <v>800</v>
      </c>
      <c r="H6" s="4"/>
      <c r="I6" s="4">
        <v>1</v>
      </c>
      <c r="J6" s="3">
        <v>80</v>
      </c>
    </row>
    <row r="7" ht="13.9" spans="1:10">
      <c r="A7" s="4" t="s">
        <v>82</v>
      </c>
      <c r="B7" s="4" t="s">
        <v>22</v>
      </c>
      <c r="C7" s="4" t="b">
        <v>1</v>
      </c>
      <c r="D7" s="4" t="s">
        <v>23</v>
      </c>
      <c r="E7" s="4" t="s">
        <v>74</v>
      </c>
      <c r="F7" s="4" t="s">
        <v>83</v>
      </c>
      <c r="G7" s="4">
        <f t="shared" si="0"/>
        <v>1200</v>
      </c>
      <c r="H7" s="4"/>
      <c r="I7" s="4">
        <v>1</v>
      </c>
      <c r="J7" s="3">
        <v>120</v>
      </c>
    </row>
    <row r="8" ht="13.9" spans="1:10">
      <c r="A8" s="4" t="s">
        <v>84</v>
      </c>
      <c r="B8" s="4" t="s">
        <v>22</v>
      </c>
      <c r="C8" s="4" t="b">
        <v>1</v>
      </c>
      <c r="D8" s="4" t="s">
        <v>23</v>
      </c>
      <c r="E8" s="4" t="s">
        <v>74</v>
      </c>
      <c r="F8" s="4" t="s">
        <v>85</v>
      </c>
      <c r="G8" s="4">
        <f t="shared" si="0"/>
        <v>1600</v>
      </c>
      <c r="H8" s="4"/>
      <c r="I8" s="4">
        <v>1</v>
      </c>
      <c r="J8" s="3">
        <v>160</v>
      </c>
    </row>
    <row r="9" ht="13.9" spans="1:10">
      <c r="A9" s="4" t="s">
        <v>86</v>
      </c>
      <c r="B9" s="4" t="s">
        <v>22</v>
      </c>
      <c r="C9" s="4" t="b">
        <v>1</v>
      </c>
      <c r="D9" s="4" t="s">
        <v>23</v>
      </c>
      <c r="E9" s="4" t="s">
        <v>74</v>
      </c>
      <c r="F9" s="4" t="s">
        <v>87</v>
      </c>
      <c r="G9" s="4">
        <f t="shared" si="0"/>
        <v>2000</v>
      </c>
      <c r="H9" s="4"/>
      <c r="I9" s="4">
        <v>1</v>
      </c>
      <c r="J9" s="3">
        <v>200</v>
      </c>
    </row>
    <row r="10" ht="13.9" spans="1:10">
      <c r="A10" s="4" t="s">
        <v>88</v>
      </c>
      <c r="B10" s="4" t="s">
        <v>22</v>
      </c>
      <c r="C10" s="4" t="b">
        <v>1</v>
      </c>
      <c r="D10" s="4" t="s">
        <v>23</v>
      </c>
      <c r="E10" s="4" t="s">
        <v>74</v>
      </c>
      <c r="F10" s="4" t="s">
        <v>89</v>
      </c>
      <c r="G10" s="4">
        <f t="shared" si="0"/>
        <v>2800</v>
      </c>
      <c r="H10" s="4"/>
      <c r="I10" s="4">
        <v>1</v>
      </c>
      <c r="J10" s="3">
        <v>280</v>
      </c>
    </row>
    <row r="11" ht="27.75" spans="1:11">
      <c r="A11" s="4" t="s">
        <v>90</v>
      </c>
      <c r="B11" s="4" t="s">
        <v>22</v>
      </c>
      <c r="C11" s="4" t="b">
        <v>1</v>
      </c>
      <c r="D11" s="4" t="s">
        <v>23</v>
      </c>
      <c r="E11" s="4" t="s">
        <v>91</v>
      </c>
      <c r="F11" s="4" t="s">
        <v>92</v>
      </c>
      <c r="G11" s="4">
        <f t="shared" si="0"/>
        <v>3600</v>
      </c>
      <c r="H11" s="4"/>
      <c r="I11" s="4">
        <v>1</v>
      </c>
      <c r="J11" s="3">
        <v>360</v>
      </c>
      <c r="K11">
        <v>0.05</v>
      </c>
    </row>
    <row r="12" ht="27.75" spans="1:11">
      <c r="A12" s="4" t="s">
        <v>93</v>
      </c>
      <c r="B12" s="4" t="s">
        <v>22</v>
      </c>
      <c r="C12" s="4" t="b">
        <v>0</v>
      </c>
      <c r="D12" s="4" t="s">
        <v>23</v>
      </c>
      <c r="E12" s="4" t="s">
        <v>91</v>
      </c>
      <c r="F12" s="4" t="s">
        <v>94</v>
      </c>
      <c r="G12" s="4">
        <f t="shared" si="0"/>
        <v>4000</v>
      </c>
      <c r="H12" s="4"/>
      <c r="I12" s="4">
        <v>1</v>
      </c>
      <c r="J12" s="3">
        <v>400</v>
      </c>
      <c r="K12">
        <v>0.1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opLeftCell="C1" workbookViewId="0">
      <selection activeCell="F12" sqref="F12"/>
    </sheetView>
  </sheetViews>
  <sheetFormatPr defaultColWidth="9" defaultRowHeight="13.5"/>
  <cols>
    <col min="1" max="1" width="9.76106194690266" customWidth="1"/>
    <col min="2" max="2" width="12.0884955752212" customWidth="1"/>
    <col min="3" max="3" width="14.212389380531" customWidth="1"/>
    <col min="4" max="4" width="15.8761061946903" customWidth="1"/>
    <col min="5" max="5" width="30.141592920354" customWidth="1"/>
    <col min="6" max="6" width="55.9557522123894" customWidth="1"/>
    <col min="9" max="9" width="10.5575221238938" customWidth="1"/>
    <col min="10" max="10" width="31.929203539823" customWidth="1"/>
    <col min="11" max="11" width="10.4336283185841" customWidth="1"/>
  </cols>
  <sheetData>
    <row r="1" ht="31" customHeight="1" spans="1:10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95</v>
      </c>
      <c r="K2" t="s">
        <v>96</v>
      </c>
    </row>
    <row r="3" ht="17" customHeight="1" spans="1:10">
      <c r="A3" s="4" t="s">
        <v>97</v>
      </c>
      <c r="B3" s="4" t="s">
        <v>22</v>
      </c>
      <c r="C3" s="4" t="b">
        <v>1</v>
      </c>
      <c r="D3" s="4" t="s">
        <v>23</v>
      </c>
      <c r="E3" s="4" t="s">
        <v>98</v>
      </c>
      <c r="F3" s="4" t="s">
        <v>99</v>
      </c>
      <c r="G3" s="3">
        <v>50</v>
      </c>
      <c r="H3" s="4"/>
      <c r="I3" s="4">
        <v>1</v>
      </c>
      <c r="J3" s="3">
        <v>15</v>
      </c>
    </row>
    <row r="4" ht="17" customHeight="1" spans="1:10">
      <c r="A4" s="4" t="s">
        <v>100</v>
      </c>
      <c r="B4" s="4" t="s">
        <v>22</v>
      </c>
      <c r="C4" s="4" t="b">
        <v>1</v>
      </c>
      <c r="D4" s="4" t="s">
        <v>23</v>
      </c>
      <c r="E4" s="4" t="s">
        <v>98</v>
      </c>
      <c r="F4" s="4" t="s">
        <v>101</v>
      </c>
      <c r="G4" s="3">
        <v>100</v>
      </c>
      <c r="H4" s="4"/>
      <c r="I4" s="4">
        <v>1</v>
      </c>
      <c r="J4" s="3">
        <f>J3*2</f>
        <v>30</v>
      </c>
    </row>
    <row r="5" ht="13.9" spans="1:10">
      <c r="A5" s="4" t="s">
        <v>102</v>
      </c>
      <c r="B5" s="4" t="s">
        <v>22</v>
      </c>
      <c r="C5" s="4" t="b">
        <v>1</v>
      </c>
      <c r="D5" s="4" t="s">
        <v>23</v>
      </c>
      <c r="E5" s="4" t="s">
        <v>98</v>
      </c>
      <c r="F5" s="4" t="s">
        <v>103</v>
      </c>
      <c r="G5" s="3">
        <v>200</v>
      </c>
      <c r="H5" s="4"/>
      <c r="I5" s="4">
        <v>1</v>
      </c>
      <c r="J5" s="3">
        <f>J4*2</f>
        <v>60</v>
      </c>
    </row>
    <row r="6" ht="13.9" spans="1:10">
      <c r="A6" s="4" t="s">
        <v>104</v>
      </c>
      <c r="B6" s="4" t="s">
        <v>22</v>
      </c>
      <c r="C6" s="4" t="b">
        <v>1</v>
      </c>
      <c r="D6" s="4" t="s">
        <v>23</v>
      </c>
      <c r="E6" s="4" t="s">
        <v>98</v>
      </c>
      <c r="F6" s="4" t="s">
        <v>105</v>
      </c>
      <c r="G6" s="3">
        <v>300</v>
      </c>
      <c r="H6" s="4"/>
      <c r="I6" s="4">
        <v>1</v>
      </c>
      <c r="J6" s="3">
        <f t="shared" ref="J6:J12" si="0">J5*2</f>
        <v>120</v>
      </c>
    </row>
    <row r="7" ht="13.9" spans="1:10">
      <c r="A7" s="4" t="s">
        <v>106</v>
      </c>
      <c r="B7" s="4" t="s">
        <v>22</v>
      </c>
      <c r="C7" s="4" t="b">
        <v>1</v>
      </c>
      <c r="D7" s="4" t="s">
        <v>23</v>
      </c>
      <c r="E7" s="4" t="s">
        <v>98</v>
      </c>
      <c r="F7" s="4" t="s">
        <v>107</v>
      </c>
      <c r="G7" s="3">
        <v>500</v>
      </c>
      <c r="H7" s="4"/>
      <c r="I7" s="4">
        <v>1</v>
      </c>
      <c r="J7" s="3">
        <f t="shared" si="0"/>
        <v>240</v>
      </c>
    </row>
    <row r="8" ht="13.9" spans="1:10">
      <c r="A8" s="4" t="s">
        <v>108</v>
      </c>
      <c r="B8" s="4" t="s">
        <v>22</v>
      </c>
      <c r="C8" s="4" t="b">
        <v>1</v>
      </c>
      <c r="D8" s="4" t="s">
        <v>23</v>
      </c>
      <c r="E8" s="4" t="s">
        <v>98</v>
      </c>
      <c r="F8" s="4" t="s">
        <v>109</v>
      </c>
      <c r="G8" s="3">
        <v>1000</v>
      </c>
      <c r="H8" s="4"/>
      <c r="I8" s="4">
        <v>1</v>
      </c>
      <c r="J8" s="3">
        <f t="shared" si="0"/>
        <v>480</v>
      </c>
    </row>
    <row r="9" ht="13.9" spans="1:10">
      <c r="A9" s="4" t="s">
        <v>110</v>
      </c>
      <c r="B9" s="4" t="s">
        <v>22</v>
      </c>
      <c r="C9" s="4" t="b">
        <v>1</v>
      </c>
      <c r="D9" s="4" t="s">
        <v>23</v>
      </c>
      <c r="E9" s="4" t="s">
        <v>98</v>
      </c>
      <c r="F9" s="4" t="s">
        <v>111</v>
      </c>
      <c r="G9" s="3">
        <v>2000</v>
      </c>
      <c r="H9" s="4"/>
      <c r="I9" s="4">
        <v>1</v>
      </c>
      <c r="J9" s="3">
        <f t="shared" si="0"/>
        <v>960</v>
      </c>
    </row>
    <row r="10" ht="13.9" spans="1:10">
      <c r="A10" s="4" t="s">
        <v>112</v>
      </c>
      <c r="B10" s="4" t="s">
        <v>22</v>
      </c>
      <c r="C10" s="4" t="b">
        <v>1</v>
      </c>
      <c r="D10" s="4" t="s">
        <v>23</v>
      </c>
      <c r="E10" s="4" t="s">
        <v>98</v>
      </c>
      <c r="F10" s="4" t="s">
        <v>113</v>
      </c>
      <c r="G10" s="3">
        <v>4000</v>
      </c>
      <c r="H10" s="4"/>
      <c r="I10" s="4">
        <v>1</v>
      </c>
      <c r="J10" s="3">
        <f t="shared" si="0"/>
        <v>1920</v>
      </c>
    </row>
    <row r="11" ht="69.4" spans="1:11">
      <c r="A11" s="4" t="s">
        <v>114</v>
      </c>
      <c r="B11" s="4" t="s">
        <v>22</v>
      </c>
      <c r="C11" s="4" t="b">
        <v>1</v>
      </c>
      <c r="D11" s="4" t="s">
        <v>23</v>
      </c>
      <c r="E11" s="4" t="s">
        <v>115</v>
      </c>
      <c r="F11" s="4" t="s">
        <v>116</v>
      </c>
      <c r="G11" s="3">
        <v>8000</v>
      </c>
      <c r="H11" s="4"/>
      <c r="I11" s="4">
        <v>1</v>
      </c>
      <c r="J11" s="3">
        <f t="shared" si="0"/>
        <v>3840</v>
      </c>
      <c r="K11">
        <v>0.1</v>
      </c>
    </row>
    <row r="12" ht="138.75" spans="1:11">
      <c r="A12" s="4" t="s">
        <v>117</v>
      </c>
      <c r="B12" s="4" t="s">
        <v>22</v>
      </c>
      <c r="C12" s="4" t="b">
        <v>0</v>
      </c>
      <c r="D12" s="4" t="s">
        <v>23</v>
      </c>
      <c r="E12" s="4" t="s">
        <v>118</v>
      </c>
      <c r="F12" s="4" t="s">
        <v>119</v>
      </c>
      <c r="G12" s="3">
        <f>J12*2</f>
        <v>15360</v>
      </c>
      <c r="H12" s="4"/>
      <c r="I12" s="4">
        <v>1</v>
      </c>
      <c r="J12" s="3">
        <f t="shared" si="0"/>
        <v>7680</v>
      </c>
      <c r="K12">
        <v>0.2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opLeftCell="C1" workbookViewId="0">
      <selection activeCell="F6" sqref="F6"/>
    </sheetView>
  </sheetViews>
  <sheetFormatPr defaultColWidth="9" defaultRowHeight="13.5"/>
  <cols>
    <col min="1" max="1" width="9.76106194690266" customWidth="1"/>
    <col min="2" max="2" width="12.0884955752212" customWidth="1"/>
    <col min="3" max="3" width="14.212389380531" customWidth="1"/>
    <col min="4" max="4" width="15.8761061946903" customWidth="1"/>
    <col min="5" max="5" width="30.141592920354" customWidth="1"/>
    <col min="6" max="6" width="55.9557522123894" customWidth="1"/>
    <col min="9" max="9" width="10.5575221238938" customWidth="1"/>
    <col min="10" max="10" width="31.929203539823" customWidth="1"/>
    <col min="11" max="11" width="12.353982300885" customWidth="1"/>
  </cols>
  <sheetData>
    <row r="1" ht="31" customHeight="1" spans="1:10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120</v>
      </c>
      <c r="K2" t="s">
        <v>121</v>
      </c>
    </row>
    <row r="3" ht="17" customHeight="1" spans="1:10">
      <c r="A3" s="4" t="s">
        <v>122</v>
      </c>
      <c r="B3" s="4" t="s">
        <v>22</v>
      </c>
      <c r="C3" s="4" t="b">
        <v>1</v>
      </c>
      <c r="D3" s="4" t="s">
        <v>23</v>
      </c>
      <c r="E3" s="4" t="s">
        <v>123</v>
      </c>
      <c r="F3" s="4" t="s">
        <v>124</v>
      </c>
      <c r="G3" s="3">
        <f>J3*5</f>
        <v>50</v>
      </c>
      <c r="H3" s="4"/>
      <c r="I3" s="4">
        <v>1</v>
      </c>
      <c r="J3" s="3">
        <v>10</v>
      </c>
    </row>
    <row r="4" ht="17" customHeight="1" spans="1:10">
      <c r="A4" s="4" t="s">
        <v>125</v>
      </c>
      <c r="B4" s="4" t="s">
        <v>22</v>
      </c>
      <c r="C4" s="4" t="b">
        <v>1</v>
      </c>
      <c r="D4" s="4" t="s">
        <v>23</v>
      </c>
      <c r="E4" s="4" t="s">
        <v>123</v>
      </c>
      <c r="F4" s="4" t="s">
        <v>126</v>
      </c>
      <c r="G4" s="3">
        <f t="shared" ref="G4:G12" si="0">J4*5</f>
        <v>100</v>
      </c>
      <c r="H4" s="4"/>
      <c r="I4" s="4">
        <v>1</v>
      </c>
      <c r="J4" s="3">
        <f>J3*2</f>
        <v>20</v>
      </c>
    </row>
    <row r="5" ht="13.9" spans="1:10">
      <c r="A5" s="4" t="s">
        <v>127</v>
      </c>
      <c r="B5" s="4" t="s">
        <v>22</v>
      </c>
      <c r="C5" s="4" t="b">
        <v>1</v>
      </c>
      <c r="D5" s="4" t="s">
        <v>23</v>
      </c>
      <c r="E5" s="4" t="s">
        <v>123</v>
      </c>
      <c r="F5" s="4" t="s">
        <v>128</v>
      </c>
      <c r="G5" s="3">
        <f t="shared" si="0"/>
        <v>200</v>
      </c>
      <c r="H5" s="4"/>
      <c r="I5" s="4">
        <v>1</v>
      </c>
      <c r="J5" s="3">
        <f t="shared" ref="J5:J12" si="1">J4*2</f>
        <v>40</v>
      </c>
    </row>
    <row r="6" ht="13.9" spans="1:10">
      <c r="A6" s="4" t="s">
        <v>129</v>
      </c>
      <c r="B6" s="4" t="s">
        <v>22</v>
      </c>
      <c r="C6" s="4" t="b">
        <v>1</v>
      </c>
      <c r="D6" s="4" t="s">
        <v>23</v>
      </c>
      <c r="E6" s="4" t="s">
        <v>123</v>
      </c>
      <c r="F6" s="4" t="s">
        <v>130</v>
      </c>
      <c r="G6" s="3">
        <f t="shared" si="0"/>
        <v>400</v>
      </c>
      <c r="H6" s="4"/>
      <c r="I6" s="4">
        <v>1</v>
      </c>
      <c r="J6" s="3">
        <f t="shared" si="1"/>
        <v>80</v>
      </c>
    </row>
    <row r="7" ht="13.9" spans="1:10">
      <c r="A7" s="4" t="s">
        <v>131</v>
      </c>
      <c r="B7" s="4" t="s">
        <v>22</v>
      </c>
      <c r="C7" s="4" t="b">
        <v>1</v>
      </c>
      <c r="D7" s="4" t="s">
        <v>23</v>
      </c>
      <c r="E7" s="4" t="s">
        <v>123</v>
      </c>
      <c r="F7" s="4" t="s">
        <v>132</v>
      </c>
      <c r="G7" s="3">
        <f t="shared" si="0"/>
        <v>800</v>
      </c>
      <c r="H7" s="4"/>
      <c r="I7" s="4">
        <v>1</v>
      </c>
      <c r="J7" s="3">
        <f t="shared" si="1"/>
        <v>160</v>
      </c>
    </row>
    <row r="8" ht="13.9" spans="1:10">
      <c r="A8" s="4" t="s">
        <v>133</v>
      </c>
      <c r="B8" s="4" t="s">
        <v>22</v>
      </c>
      <c r="C8" s="4" t="b">
        <v>1</v>
      </c>
      <c r="D8" s="4" t="s">
        <v>23</v>
      </c>
      <c r="E8" s="4" t="s">
        <v>123</v>
      </c>
      <c r="F8" s="4" t="s">
        <v>134</v>
      </c>
      <c r="G8" s="3">
        <f t="shared" si="0"/>
        <v>1600</v>
      </c>
      <c r="H8" s="4"/>
      <c r="I8" s="4">
        <v>1</v>
      </c>
      <c r="J8" s="3">
        <f t="shared" si="1"/>
        <v>320</v>
      </c>
    </row>
    <row r="9" ht="13.9" spans="1:10">
      <c r="A9" s="4" t="s">
        <v>135</v>
      </c>
      <c r="B9" s="4" t="s">
        <v>22</v>
      </c>
      <c r="C9" s="4" t="b">
        <v>1</v>
      </c>
      <c r="D9" s="4" t="s">
        <v>23</v>
      </c>
      <c r="E9" s="4" t="s">
        <v>123</v>
      </c>
      <c r="F9" s="4" t="s">
        <v>136</v>
      </c>
      <c r="G9" s="3">
        <f t="shared" si="0"/>
        <v>3200</v>
      </c>
      <c r="H9" s="4"/>
      <c r="I9" s="4">
        <v>1</v>
      </c>
      <c r="J9" s="3">
        <f t="shared" si="1"/>
        <v>640</v>
      </c>
    </row>
    <row r="10" ht="13.9" spans="1:10">
      <c r="A10" s="4" t="s">
        <v>137</v>
      </c>
      <c r="B10" s="4" t="s">
        <v>22</v>
      </c>
      <c r="C10" s="4" t="b">
        <v>1</v>
      </c>
      <c r="D10" s="4" t="s">
        <v>23</v>
      </c>
      <c r="E10" s="4" t="s">
        <v>123</v>
      </c>
      <c r="F10" s="4" t="s">
        <v>138</v>
      </c>
      <c r="G10" s="3">
        <f t="shared" si="0"/>
        <v>6400</v>
      </c>
      <c r="H10" s="4"/>
      <c r="I10" s="4">
        <v>1</v>
      </c>
      <c r="J10" s="3">
        <f t="shared" si="1"/>
        <v>1280</v>
      </c>
    </row>
    <row r="11" ht="69.4" spans="1:11">
      <c r="A11" s="4" t="s">
        <v>139</v>
      </c>
      <c r="B11" s="4" t="s">
        <v>22</v>
      </c>
      <c r="C11" s="4" t="b">
        <v>1</v>
      </c>
      <c r="D11" s="4" t="s">
        <v>23</v>
      </c>
      <c r="E11" s="4" t="s">
        <v>140</v>
      </c>
      <c r="F11" s="4" t="s">
        <v>141</v>
      </c>
      <c r="G11" s="3">
        <f t="shared" si="0"/>
        <v>12800</v>
      </c>
      <c r="H11" s="4"/>
      <c r="I11" s="4">
        <v>1</v>
      </c>
      <c r="J11" s="3">
        <f t="shared" si="1"/>
        <v>2560</v>
      </c>
      <c r="K11">
        <v>0.1</v>
      </c>
    </row>
    <row r="12" ht="83.25" spans="1:11">
      <c r="A12" s="4" t="s">
        <v>142</v>
      </c>
      <c r="B12" s="4" t="s">
        <v>22</v>
      </c>
      <c r="C12" s="4" t="b">
        <v>0</v>
      </c>
      <c r="D12" s="4" t="s">
        <v>23</v>
      </c>
      <c r="E12" s="4" t="s">
        <v>143</v>
      </c>
      <c r="F12" s="4" t="s">
        <v>144</v>
      </c>
      <c r="G12" s="3">
        <f t="shared" si="0"/>
        <v>25600</v>
      </c>
      <c r="H12" s="4"/>
      <c r="I12" s="4">
        <v>1</v>
      </c>
      <c r="J12" s="3">
        <f t="shared" si="1"/>
        <v>5120</v>
      </c>
      <c r="K12">
        <v>0.2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opLeftCell="C1" workbookViewId="0">
      <selection activeCell="E7" sqref="E7"/>
    </sheetView>
  </sheetViews>
  <sheetFormatPr defaultColWidth="9" defaultRowHeight="13.5"/>
  <cols>
    <col min="1" max="1" width="9.76106194690266" customWidth="1"/>
    <col min="2" max="2" width="12.0884955752212" customWidth="1"/>
    <col min="3" max="3" width="14.212389380531" customWidth="1"/>
    <col min="4" max="4" width="15.8761061946903" customWidth="1"/>
    <col min="5" max="5" width="30.141592920354" customWidth="1"/>
    <col min="6" max="6" width="55.9557522123894" customWidth="1"/>
    <col min="9" max="9" width="10.5575221238938" customWidth="1"/>
    <col min="10" max="10" width="31.929203539823" customWidth="1"/>
    <col min="11" max="11" width="10.7610619469027" customWidth="1"/>
  </cols>
  <sheetData>
    <row r="1" ht="31" customHeight="1" spans="1:10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145</v>
      </c>
      <c r="K2" t="s">
        <v>146</v>
      </c>
    </row>
    <row r="3" ht="17" customHeight="1" spans="1:10">
      <c r="A3" s="4" t="s">
        <v>147</v>
      </c>
      <c r="B3" s="4" t="s">
        <v>22</v>
      </c>
      <c r="C3" s="4" t="b">
        <v>1</v>
      </c>
      <c r="D3" s="4" t="s">
        <v>23</v>
      </c>
      <c r="E3" s="4" t="s">
        <v>148</v>
      </c>
      <c r="F3" s="4" t="s">
        <v>149</v>
      </c>
      <c r="G3" s="3">
        <f t="shared" ref="G3:G12" si="0">J3*5</f>
        <v>50</v>
      </c>
      <c r="H3" s="4"/>
      <c r="I3" s="4">
        <v>1</v>
      </c>
      <c r="J3" s="3">
        <v>10</v>
      </c>
    </row>
    <row r="4" ht="17" customHeight="1" spans="1:10">
      <c r="A4" s="4" t="s">
        <v>150</v>
      </c>
      <c r="B4" s="4" t="s">
        <v>22</v>
      </c>
      <c r="C4" s="4" t="b">
        <v>1</v>
      </c>
      <c r="D4" s="4" t="s">
        <v>23</v>
      </c>
      <c r="E4" s="4" t="s">
        <v>148</v>
      </c>
      <c r="F4" s="4" t="s">
        <v>151</v>
      </c>
      <c r="G4" s="3">
        <f t="shared" si="0"/>
        <v>100</v>
      </c>
      <c r="H4" s="4"/>
      <c r="I4" s="4">
        <v>1</v>
      </c>
      <c r="J4" s="3">
        <f t="shared" ref="J4:J12" si="1">J3*2</f>
        <v>20</v>
      </c>
    </row>
    <row r="5" ht="13.9" spans="1:10">
      <c r="A5" s="4" t="s">
        <v>152</v>
      </c>
      <c r="B5" s="4" t="s">
        <v>22</v>
      </c>
      <c r="C5" s="4" t="b">
        <v>1</v>
      </c>
      <c r="D5" s="4" t="s">
        <v>23</v>
      </c>
      <c r="E5" s="4" t="s">
        <v>148</v>
      </c>
      <c r="F5" s="4" t="s">
        <v>153</v>
      </c>
      <c r="G5" s="3">
        <f t="shared" si="0"/>
        <v>200</v>
      </c>
      <c r="H5" s="4"/>
      <c r="I5" s="4">
        <v>1</v>
      </c>
      <c r="J5" s="3">
        <f t="shared" si="1"/>
        <v>40</v>
      </c>
    </row>
    <row r="6" ht="13.9" spans="1:10">
      <c r="A6" s="4" t="s">
        <v>154</v>
      </c>
      <c r="B6" s="4" t="s">
        <v>22</v>
      </c>
      <c r="C6" s="4" t="b">
        <v>1</v>
      </c>
      <c r="D6" s="4" t="s">
        <v>23</v>
      </c>
      <c r="E6" s="4" t="s">
        <v>148</v>
      </c>
      <c r="F6" s="4" t="s">
        <v>155</v>
      </c>
      <c r="G6" s="3">
        <f t="shared" si="0"/>
        <v>400</v>
      </c>
      <c r="H6" s="4"/>
      <c r="I6" s="4">
        <v>1</v>
      </c>
      <c r="J6" s="3">
        <f t="shared" si="1"/>
        <v>80</v>
      </c>
    </row>
    <row r="7" ht="13.9" spans="1:10">
      <c r="A7" s="4" t="s">
        <v>156</v>
      </c>
      <c r="B7" s="4" t="s">
        <v>22</v>
      </c>
      <c r="C7" s="4" t="b">
        <v>1</v>
      </c>
      <c r="D7" s="4" t="s">
        <v>23</v>
      </c>
      <c r="E7" s="4" t="s">
        <v>148</v>
      </c>
      <c r="F7" s="4" t="s">
        <v>157</v>
      </c>
      <c r="G7" s="3">
        <f t="shared" si="0"/>
        <v>800</v>
      </c>
      <c r="H7" s="4"/>
      <c r="I7" s="4">
        <v>1</v>
      </c>
      <c r="J7" s="3">
        <f t="shared" si="1"/>
        <v>160</v>
      </c>
    </row>
    <row r="8" ht="13.9" spans="1:10">
      <c r="A8" s="4" t="s">
        <v>158</v>
      </c>
      <c r="B8" s="4" t="s">
        <v>22</v>
      </c>
      <c r="C8" s="4" t="b">
        <v>1</v>
      </c>
      <c r="D8" s="4" t="s">
        <v>23</v>
      </c>
      <c r="E8" s="4" t="s">
        <v>148</v>
      </c>
      <c r="F8" s="4" t="s">
        <v>159</v>
      </c>
      <c r="G8" s="3">
        <f t="shared" si="0"/>
        <v>1600</v>
      </c>
      <c r="H8" s="4"/>
      <c r="I8" s="4">
        <v>1</v>
      </c>
      <c r="J8" s="3">
        <f t="shared" si="1"/>
        <v>320</v>
      </c>
    </row>
    <row r="9" ht="13.9" spans="1:10">
      <c r="A9" s="4" t="s">
        <v>160</v>
      </c>
      <c r="B9" s="4" t="s">
        <v>22</v>
      </c>
      <c r="C9" s="4" t="b">
        <v>1</v>
      </c>
      <c r="D9" s="4" t="s">
        <v>23</v>
      </c>
      <c r="E9" s="4" t="s">
        <v>148</v>
      </c>
      <c r="F9" s="4" t="s">
        <v>161</v>
      </c>
      <c r="G9" s="3">
        <f t="shared" si="0"/>
        <v>3200</v>
      </c>
      <c r="H9" s="4"/>
      <c r="I9" s="4">
        <v>1</v>
      </c>
      <c r="J9" s="3">
        <f t="shared" si="1"/>
        <v>640</v>
      </c>
    </row>
    <row r="10" ht="13.9" spans="1:10">
      <c r="A10" s="4" t="s">
        <v>162</v>
      </c>
      <c r="B10" s="4" t="s">
        <v>22</v>
      </c>
      <c r="C10" s="4" t="b">
        <v>1</v>
      </c>
      <c r="D10" s="4" t="s">
        <v>23</v>
      </c>
      <c r="E10" s="4" t="s">
        <v>148</v>
      </c>
      <c r="F10" s="4" t="s">
        <v>163</v>
      </c>
      <c r="G10" s="3">
        <f t="shared" si="0"/>
        <v>6400</v>
      </c>
      <c r="H10" s="4"/>
      <c r="I10" s="4">
        <v>1</v>
      </c>
      <c r="J10" s="3">
        <f t="shared" si="1"/>
        <v>1280</v>
      </c>
    </row>
    <row r="11" ht="69.4" spans="1:11">
      <c r="A11" s="4" t="s">
        <v>164</v>
      </c>
      <c r="B11" s="4" t="s">
        <v>22</v>
      </c>
      <c r="C11" s="4" t="b">
        <v>1</v>
      </c>
      <c r="D11" s="4" t="s">
        <v>23</v>
      </c>
      <c r="E11" s="4" t="s">
        <v>165</v>
      </c>
      <c r="F11" s="4" t="s">
        <v>166</v>
      </c>
      <c r="G11" s="3">
        <f t="shared" si="0"/>
        <v>12800</v>
      </c>
      <c r="H11" s="4"/>
      <c r="I11" s="4">
        <v>1</v>
      </c>
      <c r="J11" s="3">
        <f t="shared" si="1"/>
        <v>2560</v>
      </c>
      <c r="K11">
        <v>0.1</v>
      </c>
    </row>
    <row r="12" ht="138.75" spans="1:11">
      <c r="A12" s="4" t="s">
        <v>167</v>
      </c>
      <c r="B12" s="4" t="s">
        <v>22</v>
      </c>
      <c r="C12" s="4" t="b">
        <v>0</v>
      </c>
      <c r="D12" s="4" t="s">
        <v>23</v>
      </c>
      <c r="E12" s="4" t="s">
        <v>168</v>
      </c>
      <c r="F12" s="4" t="s">
        <v>169</v>
      </c>
      <c r="G12" s="3">
        <f t="shared" si="0"/>
        <v>25600</v>
      </c>
      <c r="H12" s="4"/>
      <c r="I12" s="4">
        <v>1</v>
      </c>
      <c r="J12" s="3">
        <f t="shared" si="1"/>
        <v>5120</v>
      </c>
      <c r="K12">
        <v>0.2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topLeftCell="D1" workbookViewId="0">
      <selection activeCell="F12" sqref="F12"/>
    </sheetView>
  </sheetViews>
  <sheetFormatPr defaultColWidth="9" defaultRowHeight="13.5"/>
  <cols>
    <col min="1" max="1" width="9.76106194690266" customWidth="1"/>
    <col min="2" max="2" width="12.0884955752212" customWidth="1"/>
    <col min="3" max="3" width="14.212389380531" customWidth="1"/>
    <col min="4" max="4" width="15.8761061946903" customWidth="1"/>
    <col min="5" max="5" width="30.141592920354" customWidth="1"/>
    <col min="6" max="6" width="55.9557522123894" customWidth="1"/>
    <col min="9" max="9" width="10.5575221238938" customWidth="1"/>
    <col min="10" max="10" width="31.929203539823" customWidth="1"/>
    <col min="11" max="11" width="14.9380530973451" customWidth="1"/>
  </cols>
  <sheetData>
    <row r="1" ht="31" customHeight="1" spans="1:10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170</v>
      </c>
      <c r="K2" t="s">
        <v>171</v>
      </c>
    </row>
    <row r="3" ht="17" customHeight="1" spans="1:10">
      <c r="A3" s="4" t="s">
        <v>172</v>
      </c>
      <c r="B3" s="4" t="s">
        <v>22</v>
      </c>
      <c r="C3" s="4" t="b">
        <v>1</v>
      </c>
      <c r="D3" s="4" t="s">
        <v>23</v>
      </c>
      <c r="E3" s="4" t="s">
        <v>173</v>
      </c>
      <c r="F3" s="4" t="s">
        <v>174</v>
      </c>
      <c r="G3" s="3">
        <f t="shared" ref="G3:G12" si="0">J3*5</f>
        <v>50</v>
      </c>
      <c r="H3" s="4"/>
      <c r="I3" s="4">
        <v>1</v>
      </c>
      <c r="J3" s="3">
        <v>10</v>
      </c>
    </row>
    <row r="4" ht="17" customHeight="1" spans="1:10">
      <c r="A4" s="4" t="s">
        <v>175</v>
      </c>
      <c r="B4" s="4" t="s">
        <v>22</v>
      </c>
      <c r="C4" s="4" t="b">
        <v>1</v>
      </c>
      <c r="D4" s="4" t="s">
        <v>23</v>
      </c>
      <c r="E4" s="4" t="s">
        <v>173</v>
      </c>
      <c r="F4" s="4" t="s">
        <v>176</v>
      </c>
      <c r="G4" s="3">
        <f t="shared" si="0"/>
        <v>100</v>
      </c>
      <c r="H4" s="4"/>
      <c r="I4" s="4">
        <v>1</v>
      </c>
      <c r="J4" s="3">
        <f t="shared" ref="J4:J12" si="1">J3*2</f>
        <v>20</v>
      </c>
    </row>
    <row r="5" ht="13.9" spans="1:10">
      <c r="A5" s="4" t="s">
        <v>177</v>
      </c>
      <c r="B5" s="4" t="s">
        <v>22</v>
      </c>
      <c r="C5" s="4" t="b">
        <v>1</v>
      </c>
      <c r="D5" s="4" t="s">
        <v>23</v>
      </c>
      <c r="E5" s="4" t="s">
        <v>173</v>
      </c>
      <c r="F5" s="4" t="s">
        <v>178</v>
      </c>
      <c r="G5" s="3">
        <f t="shared" si="0"/>
        <v>200</v>
      </c>
      <c r="H5" s="4"/>
      <c r="I5" s="4">
        <v>1</v>
      </c>
      <c r="J5" s="3">
        <f t="shared" si="1"/>
        <v>40</v>
      </c>
    </row>
    <row r="6" ht="13.9" spans="1:10">
      <c r="A6" s="4" t="s">
        <v>179</v>
      </c>
      <c r="B6" s="4" t="s">
        <v>22</v>
      </c>
      <c r="C6" s="4" t="b">
        <v>1</v>
      </c>
      <c r="D6" s="4" t="s">
        <v>23</v>
      </c>
      <c r="E6" s="4" t="s">
        <v>173</v>
      </c>
      <c r="F6" s="4" t="s">
        <v>180</v>
      </c>
      <c r="G6" s="3">
        <f t="shared" si="0"/>
        <v>400</v>
      </c>
      <c r="H6" s="4"/>
      <c r="I6" s="4">
        <v>1</v>
      </c>
      <c r="J6" s="3">
        <f t="shared" si="1"/>
        <v>80</v>
      </c>
    </row>
    <row r="7" ht="13.9" spans="1:10">
      <c r="A7" s="4" t="s">
        <v>181</v>
      </c>
      <c r="B7" s="4" t="s">
        <v>22</v>
      </c>
      <c r="C7" s="4" t="b">
        <v>1</v>
      </c>
      <c r="D7" s="4" t="s">
        <v>23</v>
      </c>
      <c r="E7" s="4" t="s">
        <v>173</v>
      </c>
      <c r="F7" s="4" t="s">
        <v>182</v>
      </c>
      <c r="G7" s="3">
        <f t="shared" si="0"/>
        <v>800</v>
      </c>
      <c r="H7" s="4"/>
      <c r="I7" s="4">
        <v>1</v>
      </c>
      <c r="J7" s="3">
        <f t="shared" si="1"/>
        <v>160</v>
      </c>
    </row>
    <row r="8" ht="13.9" spans="1:10">
      <c r="A8" s="4" t="s">
        <v>183</v>
      </c>
      <c r="B8" s="4" t="s">
        <v>22</v>
      </c>
      <c r="C8" s="4" t="b">
        <v>1</v>
      </c>
      <c r="D8" s="4" t="s">
        <v>23</v>
      </c>
      <c r="E8" s="4" t="s">
        <v>173</v>
      </c>
      <c r="F8" s="4" t="s">
        <v>184</v>
      </c>
      <c r="G8" s="3">
        <f t="shared" si="0"/>
        <v>1600</v>
      </c>
      <c r="H8" s="4"/>
      <c r="I8" s="4">
        <v>1</v>
      </c>
      <c r="J8" s="3">
        <f t="shared" si="1"/>
        <v>320</v>
      </c>
    </row>
    <row r="9" ht="13.9" spans="1:10">
      <c r="A9" s="4" t="s">
        <v>185</v>
      </c>
      <c r="B9" s="4" t="s">
        <v>22</v>
      </c>
      <c r="C9" s="4" t="b">
        <v>1</v>
      </c>
      <c r="D9" s="4" t="s">
        <v>23</v>
      </c>
      <c r="E9" s="4" t="s">
        <v>173</v>
      </c>
      <c r="F9" s="4" t="s">
        <v>186</v>
      </c>
      <c r="G9" s="3">
        <f t="shared" si="0"/>
        <v>3200</v>
      </c>
      <c r="H9" s="4"/>
      <c r="I9" s="4">
        <v>1</v>
      </c>
      <c r="J9" s="3">
        <f t="shared" si="1"/>
        <v>640</v>
      </c>
    </row>
    <row r="10" ht="13.9" spans="1:10">
      <c r="A10" s="4" t="s">
        <v>187</v>
      </c>
      <c r="B10" s="4" t="s">
        <v>22</v>
      </c>
      <c r="C10" s="4" t="b">
        <v>1</v>
      </c>
      <c r="D10" s="4" t="s">
        <v>23</v>
      </c>
      <c r="E10" s="4" t="s">
        <v>173</v>
      </c>
      <c r="F10" s="4" t="s">
        <v>188</v>
      </c>
      <c r="G10" s="3">
        <f t="shared" si="0"/>
        <v>6400</v>
      </c>
      <c r="H10" s="4"/>
      <c r="I10" s="4">
        <v>1</v>
      </c>
      <c r="J10" s="3">
        <f t="shared" si="1"/>
        <v>1280</v>
      </c>
    </row>
    <row r="11" ht="69.4" spans="1:11">
      <c r="A11" s="4" t="s">
        <v>189</v>
      </c>
      <c r="B11" s="4" t="s">
        <v>22</v>
      </c>
      <c r="C11" s="4" t="b">
        <v>1</v>
      </c>
      <c r="D11" s="4" t="s">
        <v>23</v>
      </c>
      <c r="E11" s="4" t="s">
        <v>190</v>
      </c>
      <c r="F11" s="4" t="s">
        <v>191</v>
      </c>
      <c r="G11" s="3">
        <f t="shared" si="0"/>
        <v>12800</v>
      </c>
      <c r="H11" s="4"/>
      <c r="I11" s="4">
        <v>1</v>
      </c>
      <c r="J11" s="3">
        <f t="shared" si="1"/>
        <v>2560</v>
      </c>
      <c r="K11">
        <v>0.1</v>
      </c>
    </row>
    <row r="12" ht="152.65" spans="1:11">
      <c r="A12" s="4" t="s">
        <v>192</v>
      </c>
      <c r="B12" s="4" t="s">
        <v>22</v>
      </c>
      <c r="C12" s="4" t="b">
        <v>0</v>
      </c>
      <c r="D12" s="4" t="s">
        <v>23</v>
      </c>
      <c r="E12" s="4" t="s">
        <v>193</v>
      </c>
      <c r="F12" s="4" t="s">
        <v>194</v>
      </c>
      <c r="G12" s="3">
        <f t="shared" si="0"/>
        <v>25600</v>
      </c>
      <c r="H12" s="4"/>
      <c r="I12" s="4">
        <v>1</v>
      </c>
      <c r="J12" s="3">
        <f t="shared" si="1"/>
        <v>5120</v>
      </c>
      <c r="K12">
        <v>0.2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opLeftCell="E1" workbookViewId="0">
      <selection activeCell="I7" sqref="I7"/>
    </sheetView>
  </sheetViews>
  <sheetFormatPr defaultColWidth="9" defaultRowHeight="13.5"/>
  <cols>
    <col min="1" max="1" width="12.0796460176991" customWidth="1"/>
    <col min="2" max="2" width="12.0884955752212" customWidth="1"/>
    <col min="3" max="3" width="14.212389380531" customWidth="1"/>
    <col min="4" max="4" width="15.8761061946903" customWidth="1"/>
    <col min="5" max="5" width="39.1681415929204" customWidth="1"/>
    <col min="6" max="6" width="55.9557522123894" customWidth="1"/>
    <col min="9" max="9" width="10.5575221238938" customWidth="1"/>
    <col min="10" max="10" width="14.6017699115044" style="1" customWidth="1"/>
    <col min="11" max="11" width="19.4513274336283" style="1" customWidth="1"/>
    <col min="12" max="12" width="24.4336283185841" customWidth="1"/>
  </cols>
  <sheetData>
    <row r="1" ht="31" customHeight="1" spans="1:12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195</v>
      </c>
      <c r="H1" t="s">
        <v>6</v>
      </c>
      <c r="I1" t="s">
        <v>7</v>
      </c>
      <c r="J1" t="s">
        <v>8</v>
      </c>
      <c r="K1" s="3" t="s">
        <v>196</v>
      </c>
      <c r="L1" s="3" t="s">
        <v>197</v>
      </c>
    </row>
    <row r="2" ht="13.9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198</v>
      </c>
      <c r="H2" t="s">
        <v>16</v>
      </c>
      <c r="I2" t="s">
        <v>17</v>
      </c>
      <c r="J2" t="s">
        <v>18</v>
      </c>
      <c r="K2" s="3" t="s">
        <v>199</v>
      </c>
      <c r="L2" s="3" t="s">
        <v>200</v>
      </c>
      <c r="M2" s="3"/>
    </row>
    <row r="3" ht="17" customHeight="1" spans="1:13">
      <c r="A3" s="3" t="s">
        <v>201</v>
      </c>
      <c r="B3" s="4" t="s">
        <v>22</v>
      </c>
      <c r="C3" s="4" t="b">
        <v>0</v>
      </c>
      <c r="D3" s="4" t="s">
        <v>23</v>
      </c>
      <c r="E3" s="3" t="s">
        <v>202</v>
      </c>
      <c r="F3" s="3" t="s">
        <v>203</v>
      </c>
      <c r="G3" s="3">
        <v>15</v>
      </c>
      <c r="H3" s="3">
        <v>100</v>
      </c>
      <c r="I3" s="4"/>
      <c r="J3" s="4">
        <v>1</v>
      </c>
      <c r="K3" s="3">
        <v>0.2</v>
      </c>
      <c r="L3" s="3">
        <v>5</v>
      </c>
      <c r="M3" s="3"/>
    </row>
    <row r="4" ht="17" customHeight="1" spans="1:13">
      <c r="A4" s="3" t="s">
        <v>204</v>
      </c>
      <c r="B4" s="4" t="s">
        <v>22</v>
      </c>
      <c r="C4" s="4" t="b">
        <v>0</v>
      </c>
      <c r="D4" s="4" t="s">
        <v>23</v>
      </c>
      <c r="E4" s="3" t="s">
        <v>202</v>
      </c>
      <c r="F4" s="3" t="s">
        <v>205</v>
      </c>
      <c r="G4" s="3">
        <v>15</v>
      </c>
      <c r="H4" s="3">
        <f>H3*2</f>
        <v>200</v>
      </c>
      <c r="I4" s="4"/>
      <c r="J4" s="4">
        <v>1</v>
      </c>
      <c r="K4" s="3">
        <f t="shared" ref="K4:K11" si="0">K3+0.05</f>
        <v>0.25</v>
      </c>
      <c r="L4" s="3">
        <v>10</v>
      </c>
      <c r="M4" s="3"/>
    </row>
    <row r="5" ht="55.5" spans="1:13">
      <c r="A5" s="3" t="s">
        <v>206</v>
      </c>
      <c r="B5" s="4" t="s">
        <v>22</v>
      </c>
      <c r="C5" s="4" t="b">
        <v>0</v>
      </c>
      <c r="D5" s="4" t="s">
        <v>23</v>
      </c>
      <c r="E5" s="3" t="s">
        <v>202</v>
      </c>
      <c r="F5" s="3" t="s">
        <v>207</v>
      </c>
      <c r="G5" s="3">
        <v>15</v>
      </c>
      <c r="H5" s="3">
        <f t="shared" ref="H5:H12" si="1">H4*2</f>
        <v>400</v>
      </c>
      <c r="I5" s="4"/>
      <c r="J5" s="4">
        <v>1</v>
      </c>
      <c r="K5" s="3">
        <f t="shared" si="0"/>
        <v>0.3</v>
      </c>
      <c r="L5" s="3">
        <v>20</v>
      </c>
      <c r="M5" s="3"/>
    </row>
    <row r="6" ht="55.5" spans="1:13">
      <c r="A6" s="3" t="s">
        <v>208</v>
      </c>
      <c r="B6" s="4" t="s">
        <v>22</v>
      </c>
      <c r="C6" s="4" t="b">
        <v>0</v>
      </c>
      <c r="D6" s="4" t="s">
        <v>23</v>
      </c>
      <c r="E6" s="3" t="s">
        <v>202</v>
      </c>
      <c r="F6" s="3" t="s">
        <v>209</v>
      </c>
      <c r="G6" s="3">
        <v>15</v>
      </c>
      <c r="H6" s="3">
        <f t="shared" si="1"/>
        <v>800</v>
      </c>
      <c r="I6" s="4"/>
      <c r="J6" s="4">
        <v>1</v>
      </c>
      <c r="K6" s="3">
        <f t="shared" si="0"/>
        <v>0.35</v>
      </c>
      <c r="L6" s="3">
        <v>40</v>
      </c>
      <c r="M6" s="3"/>
    </row>
    <row r="7" ht="55.5" spans="1:13">
      <c r="A7" s="3" t="s">
        <v>210</v>
      </c>
      <c r="B7" s="4" t="s">
        <v>22</v>
      </c>
      <c r="C7" s="4" t="b">
        <v>0</v>
      </c>
      <c r="D7" s="4" t="s">
        <v>23</v>
      </c>
      <c r="E7" s="3" t="s">
        <v>202</v>
      </c>
      <c r="F7" s="3" t="s">
        <v>211</v>
      </c>
      <c r="G7" s="3">
        <v>15</v>
      </c>
      <c r="H7" s="3">
        <f t="shared" si="1"/>
        <v>1600</v>
      </c>
      <c r="I7" s="4"/>
      <c r="J7" s="4">
        <v>1</v>
      </c>
      <c r="K7" s="3">
        <f t="shared" si="0"/>
        <v>0.4</v>
      </c>
      <c r="L7" s="3">
        <v>80</v>
      </c>
      <c r="M7" s="3"/>
    </row>
    <row r="8" ht="55.5" spans="1:13">
      <c r="A8" s="3" t="s">
        <v>212</v>
      </c>
      <c r="B8" s="4" t="s">
        <v>22</v>
      </c>
      <c r="C8" s="4" t="b">
        <v>0</v>
      </c>
      <c r="D8" s="4" t="s">
        <v>23</v>
      </c>
      <c r="E8" s="3" t="s">
        <v>202</v>
      </c>
      <c r="F8" s="3" t="s">
        <v>213</v>
      </c>
      <c r="G8" s="3">
        <v>15</v>
      </c>
      <c r="H8" s="3">
        <f t="shared" si="1"/>
        <v>3200</v>
      </c>
      <c r="I8" s="4"/>
      <c r="J8" s="4">
        <v>1</v>
      </c>
      <c r="K8" s="3">
        <f t="shared" si="0"/>
        <v>0.45</v>
      </c>
      <c r="L8" s="3">
        <v>160</v>
      </c>
      <c r="M8" s="3"/>
    </row>
    <row r="9" ht="55.5" spans="1:13">
      <c r="A9" s="3" t="s">
        <v>214</v>
      </c>
      <c r="B9" s="4" t="s">
        <v>22</v>
      </c>
      <c r="C9" s="4" t="b">
        <v>0</v>
      </c>
      <c r="D9" s="4" t="s">
        <v>23</v>
      </c>
      <c r="E9" s="3" t="s">
        <v>202</v>
      </c>
      <c r="F9" s="3" t="s">
        <v>215</v>
      </c>
      <c r="G9" s="3">
        <v>15</v>
      </c>
      <c r="H9" s="3">
        <f t="shared" si="1"/>
        <v>6400</v>
      </c>
      <c r="I9" s="4"/>
      <c r="J9" s="4">
        <v>1</v>
      </c>
      <c r="K9" s="3">
        <f t="shared" si="0"/>
        <v>0.5</v>
      </c>
      <c r="L9" s="3">
        <v>320</v>
      </c>
      <c r="M9" s="3"/>
    </row>
    <row r="10" ht="55.5" spans="1:13">
      <c r="A10" s="3" t="s">
        <v>216</v>
      </c>
      <c r="B10" s="4" t="s">
        <v>22</v>
      </c>
      <c r="C10" s="4" t="b">
        <v>0</v>
      </c>
      <c r="D10" s="4" t="s">
        <v>23</v>
      </c>
      <c r="E10" s="3" t="s">
        <v>202</v>
      </c>
      <c r="F10" s="3" t="s">
        <v>217</v>
      </c>
      <c r="G10" s="3">
        <v>15</v>
      </c>
      <c r="H10" s="3">
        <f t="shared" si="1"/>
        <v>12800</v>
      </c>
      <c r="I10" s="4"/>
      <c r="J10" s="4">
        <v>1</v>
      </c>
      <c r="K10" s="3">
        <f t="shared" si="0"/>
        <v>0.55</v>
      </c>
      <c r="L10" s="3">
        <v>640</v>
      </c>
      <c r="M10" s="3"/>
    </row>
    <row r="11" ht="55.5" spans="1:13">
      <c r="A11" s="3" t="s">
        <v>218</v>
      </c>
      <c r="B11" s="4" t="s">
        <v>22</v>
      </c>
      <c r="C11" s="4" t="b">
        <v>0</v>
      </c>
      <c r="D11" s="4" t="s">
        <v>23</v>
      </c>
      <c r="E11" s="3" t="s">
        <v>202</v>
      </c>
      <c r="F11" s="3" t="s">
        <v>219</v>
      </c>
      <c r="G11" s="3">
        <v>15</v>
      </c>
      <c r="H11" s="3">
        <f t="shared" si="1"/>
        <v>25600</v>
      </c>
      <c r="I11" s="4"/>
      <c r="J11" s="4">
        <v>1</v>
      </c>
      <c r="K11" s="3">
        <f t="shared" si="0"/>
        <v>0.6</v>
      </c>
      <c r="L11" s="3">
        <v>1280</v>
      </c>
      <c r="M11" s="3"/>
    </row>
    <row r="12" ht="55.5" spans="1:13">
      <c r="A12" s="3" t="s">
        <v>220</v>
      </c>
      <c r="B12" s="4" t="s">
        <v>22</v>
      </c>
      <c r="C12" s="4" t="b">
        <v>0</v>
      </c>
      <c r="D12" s="4" t="s">
        <v>23</v>
      </c>
      <c r="E12" s="3" t="s">
        <v>202</v>
      </c>
      <c r="F12" s="3" t="s">
        <v>221</v>
      </c>
      <c r="G12" s="3">
        <v>15</v>
      </c>
      <c r="H12" s="3">
        <f t="shared" si="1"/>
        <v>51200</v>
      </c>
      <c r="I12" s="4"/>
      <c r="J12" s="4">
        <v>1</v>
      </c>
      <c r="K12" s="3">
        <v>0.8</v>
      </c>
      <c r="L12" s="3">
        <v>2560</v>
      </c>
      <c r="M1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船身.ts</vt:lpstr>
      <vt:lpstr>甲板.ts</vt:lpstr>
      <vt:lpstr>马达.ts</vt:lpstr>
      <vt:lpstr>炮弹.ts</vt:lpstr>
      <vt:lpstr>船头.ts</vt:lpstr>
      <vt:lpstr>船帆.ts</vt:lpstr>
      <vt:lpstr>桅杆.ts</vt:lpstr>
      <vt:lpstr>修理工.ts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2024-01-23T08:48:06Z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</Properties>
</file>
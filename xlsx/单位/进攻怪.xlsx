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22" windowHeight="8970" firstSheet="2"/>
  </bookViews>
  <sheets>
    <sheet name="进攻怪演员.ts" sheetId="4" r:id="rId1"/>
    <sheet name="野怪.uobj.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<sst xmlns="http://schemas.openxmlformats.org/spreadsheetml/2006/main" count="374" uniqueCount="256">
  <si>
    <t>自定义id</t>
  </si>
  <si>
    <t>类别
&lt;%
import ActorTypeUtil from "@/ActorTypeUtil";
    for (let datum of data) {
        if (datum.id) {
            ActorTypeUtil.registerActorType(datum as any);
        }
    }
%&gt;</t>
  </si>
  <si>
    <t>基础模板</t>
  </si>
  <si>
    <t>名字</t>
  </si>
  <si>
    <t>图标</t>
  </si>
  <si>
    <t>模型</t>
  </si>
  <si>
    <t>技能列表</t>
  </si>
  <si>
    <t>红色通道</t>
  </si>
  <si>
    <t>绿色通道</t>
  </si>
  <si>
    <t>蓝色通道</t>
  </si>
  <si>
    <t>模型缩放</t>
  </si>
  <si>
    <t>奖金</t>
  </si>
  <si>
    <t>移速</t>
  </si>
  <si>
    <t>生命值</t>
  </si>
  <si>
    <t>护甲</t>
  </si>
  <si>
    <t>攻击力</t>
  </si>
  <si>
    <t>攻击间隔</t>
  </si>
  <si>
    <t>攻击范围</t>
  </si>
  <si>
    <t>主动攻击范围</t>
  </si>
  <si>
    <t>投射物模型</t>
  </si>
  <si>
    <t>移动类型</t>
  </si>
  <si>
    <t>死亡后诞生的单位</t>
  </si>
  <si>
    <t>飞行高度</t>
  </si>
  <si>
    <t>金币消耗</t>
  </si>
  <si>
    <t>附带伤害
&lt;%
import 造成伤害时附带目标最大生命值比例的伤害 from "state/单位/造成伤害时附带目标最大生命值比例的伤害";
    for (let d of data) {
        if (d.id &amp;&amp; d.附带伤害) {
            造成伤害时附带目标最大生命值比例的伤害.config[d.id] = d.附带伤害
        }
    }
%&gt;</t>
  </si>
  <si>
    <t>最大魔法值</t>
  </si>
  <si>
    <t>提示说明</t>
  </si>
  <si>
    <t>id</t>
  </si>
  <si>
    <t>class</t>
  </si>
  <si>
    <t>templateType</t>
  </si>
  <si>
    <t>name</t>
  </si>
  <si>
    <t>icon</t>
  </si>
  <si>
    <t>model</t>
  </si>
  <si>
    <t>abilities</t>
  </si>
  <si>
    <t>colorR</t>
  </si>
  <si>
    <t>colorG</t>
  </si>
  <si>
    <t>colorB</t>
  </si>
  <si>
    <t>modelScale</t>
  </si>
  <si>
    <t>bounty</t>
  </si>
  <si>
    <t>moveSpeed</t>
  </si>
  <si>
    <t>maxLife</t>
  </si>
  <si>
    <t>def</t>
  </si>
  <si>
    <t>damage</t>
  </si>
  <si>
    <t>damageCd</t>
  </si>
  <si>
    <t>range</t>
  </si>
  <si>
    <t>acquireRange</t>
  </si>
  <si>
    <t>missileModel</t>
  </si>
  <si>
    <t>moveType</t>
  </si>
  <si>
    <t>afterDeathBirthUnits</t>
  </si>
  <si>
    <t>flyHeight</t>
  </si>
  <si>
    <t>goldCost</t>
  </si>
  <si>
    <t>附带伤害</t>
  </si>
  <si>
    <t>maxMana</t>
  </si>
  <si>
    <t>describe</t>
  </si>
  <si>
    <t>进攻怪-小木船</t>
  </si>
  <si>
    <t>进攻怪</t>
  </si>
  <si>
    <t>远程单位</t>
  </si>
  <si>
    <t>小木船</t>
  </si>
  <si>
    <t>ReplaceableTextures\CommandButtons\BTNCorruptedEnt.blp</t>
  </si>
  <si>
    <t>model\进攻怪\小木船.mdx</t>
  </si>
  <si>
    <t>Abilities\Weapons\HarpyMissile\HarpyMissile.mdx</t>
  </si>
  <si>
    <t>float</t>
  </si>
  <si>
    <t>进攻怪-驱逐舰</t>
  </si>
  <si>
    <t>驱逐舰</t>
  </si>
  <si>
    <t>units\nightelf\NightElfTransportShip\NightElfTransportShip.mdl</t>
  </si>
  <si>
    <t>Abilities\Weapons\Banditmissile\Banditmissile.mdx</t>
  </si>
  <si>
    <t>进攻怪-护卫舰</t>
  </si>
  <si>
    <t>护卫舰</t>
  </si>
  <si>
    <t>units\creeps\HumanDestroyerShip\HumanDestroyerShip.mdl</t>
  </si>
  <si>
    <t>Abilities\Weapons\FireballMissile\FireballMissile.mdx</t>
  </si>
  <si>
    <t>{"进攻怪-小护卫舰":6}</t>
  </si>
  <si>
    <t>进攻怪-巡洋舰</t>
  </si>
  <si>
    <t>巡洋舰</t>
  </si>
  <si>
    <t>model\进攻怪\巡洋舰.mdx</t>
  </si>
  <si>
    <t>Abilities\Weapons\RedDragonBreath\RedDragonMissile.mdx</t>
  </si>
  <si>
    <t>进攻怪-重舰</t>
  </si>
  <si>
    <t>重舰</t>
  </si>
  <si>
    <t>model\进攻怪\重舰.mdx</t>
  </si>
  <si>
    <t>abilities\weapons\catapult\catapultmissile.mdx</t>
  </si>
  <si>
    <t>进攻怪-海龟</t>
  </si>
  <si>
    <t>海龟</t>
  </si>
  <si>
    <t>model\进攻怪\海龟.mdx</t>
  </si>
  <si>
    <t>Abilities\Weapons\ChimaeraLightningMissile\ChimaeraLightningMissile.mdx</t>
  </si>
  <si>
    <t>进攻怪-石像鬼</t>
  </si>
  <si>
    <t>石像鬼</t>
  </si>
  <si>
    <t>model\进攻怪\石像鬼.mdx</t>
  </si>
  <si>
    <t>Abilities\Weapons\Axe\AxeMissile.mdx</t>
  </si>
  <si>
    <t>fly</t>
  </si>
  <si>
    <t>{"进攻怪-石像鬼石像":1}</t>
  </si>
  <si>
    <t>进攻怪-九头蛇</t>
  </si>
  <si>
    <t>九头蛇</t>
  </si>
  <si>
    <t>Units\Creeps\Hydra\Hydra.mdx</t>
  </si>
  <si>
    <t>Abilities\Weapons\NecromancerMissile\NecromancerMissile.mdx</t>
  </si>
  <si>
    <t>{"九头蛇【中】":2}</t>
  </si>
  <si>
    <t>进攻怪-触手</t>
  </si>
  <si>
    <t>触手</t>
  </si>
  <si>
    <t>Units\Creeps\ForgottenOne\ForgottenOneTent.mdx</t>
  </si>
  <si>
    <t>Abilities\Weapons\AncestralGuardianMissile\AncestralGuardianMissile.mdx</t>
  </si>
  <si>
    <t>进攻怪-飞蛇</t>
  </si>
  <si>
    <t>飞蛇</t>
  </si>
  <si>
    <t>model\进攻怪\飞蛇.mdx</t>
  </si>
  <si>
    <t>Abilities\Weapons\GreenDragonMissile\GreenDragonMissile.mdx</t>
  </si>
  <si>
    <t>进攻怪-深海眷族</t>
  </si>
  <si>
    <t>深海眷族</t>
  </si>
  <si>
    <t>model\进攻怪\娜迦步兵.mdx</t>
  </si>
  <si>
    <t>Abilities\Weapons\FragDriller\FragDriller.mdx</t>
  </si>
  <si>
    <t>进攻怪-外星堡垒</t>
  </si>
  <si>
    <t>外星堡垒</t>
  </si>
  <si>
    <t>units\undead\UndeadAirBarge\UndeadAirBarge.mdx</t>
  </si>
  <si>
    <t>Abilities\Weapons\BansheeMissile\BansheeMissile.mdx</t>
  </si>
  <si>
    <t>{"进攻怪-外星堡垒伞兵":8}</t>
  </si>
  <si>
    <t>进攻怪-刺蛇</t>
  </si>
  <si>
    <t>刺蛇</t>
  </si>
  <si>
    <t>Units\Critters\Hydralisk\Hydralisk.mdx</t>
  </si>
  <si>
    <t>Abilities\Weapons\KeeperGroveMissile\KeeperGroveMissile.mdl</t>
  </si>
  <si>
    <t>进攻怪-黑影</t>
  </si>
  <si>
    <t>黑影</t>
  </si>
  <si>
    <t>model\进攻怪\阴影.mdx</t>
  </si>
  <si>
    <t>Abilities\Weapons\GargoyleMissile\GargoyleMissile.mdx</t>
  </si>
  <si>
    <t>进攻怪-扭曲体</t>
  </si>
  <si>
    <t>扭曲体</t>
  </si>
  <si>
    <t>model\进攻怪\克苏恩眼睛.mdx</t>
  </si>
  <si>
    <t>Abilities\Weapons\MakuraMissile\MakuraMissile.mdx</t>
  </si>
  <si>
    <t>//</t>
  </si>
  <si>
    <t>进攻怪-小护卫舰</t>
  </si>
  <si>
    <t>辅助进攻怪</t>
  </si>
  <si>
    <t>九头蛇【中】</t>
  </si>
  <si>
    <t>Abilities\Weapons\MurgulMagicMissile\MurgulMagicMissile.mdx</t>
  </si>
  <si>
    <t>{"九头蛇【小】":2}</t>
  </si>
  <si>
    <t>九头蛇【小】</t>
  </si>
  <si>
    <t>Abilities\Weapons\AvengerMissile\AvengerMissile.mdx</t>
  </si>
  <si>
    <t>进攻怪-石像鬼石像</t>
  </si>
  <si>
    <t>石像鬼石像</t>
  </si>
  <si>
    <t>model\进攻怪\石像.mdx</t>
  </si>
  <si>
    <t>进攻怪-外星堡垒伞兵</t>
  </si>
  <si>
    <t>外星堡垒伞兵</t>
  </si>
  <si>
    <t>model\进攻怪\火枪兵.mdx</t>
  </si>
  <si>
    <t>父id</t>
  </si>
  <si>
    <t>名字
#as Propernames</t>
  </si>
  <si>
    <t>称谓数量</t>
  </si>
  <si>
    <t>基础护甲</t>
  </si>
  <si>
    <t>防御升级奖励</t>
  </si>
  <si>
    <t>最大受到伤害
&lt;%
import 受到伤害时限制最大伤害值为生命值比例 from "state/单位/受到伤害时限制最大伤害值为生命值比例";
    for (let d of data) {
        if (d.id &amp;&amp; d.最大受到伤害) {
            受到伤害时限制最大伤害值为生命值比例.config[d.id] = d.最大受到伤害
        }
    }
%&gt;</t>
  </si>
  <si>
    <t>图标 - 普通</t>
  </si>
  <si>
    <t>模型文件</t>
  </si>
  <si>
    <t>技能</t>
  </si>
  <si>
    <t>等级</t>
  </si>
  <si>
    <t>允许攻击模式</t>
  </si>
  <si>
    <t>基础速度</t>
  </si>
  <si>
    <t>隐藏小地图英雄显示</t>
  </si>
  <si>
    <t>占用人口</t>
  </si>
  <si>
    <t>目标允许</t>
  </si>
  <si>
    <t>投射物图像</t>
  </si>
  <si>
    <t>攻击类型</t>
  </si>
  <si>
    <t>高度</t>
  </si>
  <si>
    <t>类型</t>
  </si>
  <si>
    <t>缩放</t>
  </si>
  <si>
    <t>颜色值(红)</t>
  </si>
  <si>
    <t>颜色值(绿)</t>
  </si>
  <si>
    <t>颜色值(蓝)</t>
  </si>
  <si>
    <t>伤害升级奖励</t>
  </si>
  <si>
    <t>视野范围(白天)
#as nsight</t>
  </si>
  <si>
    <t>武器类型</t>
  </si>
  <si>
    <t>动画伤害点</t>
  </si>
  <si>
    <t>攻击武器声音</t>
  </si>
  <si>
    <t>射弹弧度</t>
  </si>
  <si>
    <t>射弹速率</t>
  </si>
  <si>
    <t>生命回复类型</t>
  </si>
  <si>
    <t>动画回复点</t>
  </si>
  <si>
    <t>护甲类型</t>
  </si>
  <si>
    <t>伤害骰子数量</t>
  </si>
  <si>
    <t>缩放投射物</t>
  </si>
  <si>
    <t>单位附加值</t>
  </si>
  <si>
    <t>黄金奖励 - 骰子数量</t>
  </si>
  <si>
    <t>攻击范围
#as acquire</t>
  </si>
  <si>
    <t>作为目标类型</t>
  </si>
  <si>
    <t>射弹自导允许</t>
  </si>
  <si>
    <t>可设置死亡掉落物品</t>
  </si>
  <si>
    <t>黄金奖励 - 骰子面数</t>
  </si>
  <si>
    <t>生命回复</t>
  </si>
  <si>
    <t>类别</t>
  </si>
  <si>
    <t>可以逃跑</t>
  </si>
  <si>
    <t>伤害骰子面数</t>
  </si>
  <si>
    <t>碰撞体积</t>
  </si>
  <si>
    <t>黄金奖励 - 基础值</t>
  </si>
  <si>
    <t>攻击范围缓冲</t>
  </si>
  <si>
    <t>_parent</t>
  </si>
  <si>
    <t>Name</t>
  </si>
  <si>
    <t>nameCount</t>
  </si>
  <si>
    <t>dmgplus1</t>
  </si>
  <si>
    <t>HP</t>
  </si>
  <si>
    <t>defUp</t>
  </si>
  <si>
    <t>最大受到伤害</t>
  </si>
  <si>
    <t>cool1</t>
  </si>
  <si>
    <t>Art</t>
  </si>
  <si>
    <t>file</t>
  </si>
  <si>
    <t>abilList</t>
  </si>
  <si>
    <t>level</t>
  </si>
  <si>
    <t>weapsOn</t>
  </si>
  <si>
    <t>spd</t>
  </si>
  <si>
    <t>hideHeroMinimap</t>
  </si>
  <si>
    <t>fused</t>
  </si>
  <si>
    <t>targs1</t>
  </si>
  <si>
    <t>Missileart_1</t>
  </si>
  <si>
    <t>atkType1</t>
  </si>
  <si>
    <t>moveHeight</t>
  </si>
  <si>
    <t>movetp</t>
  </si>
  <si>
    <t>scale</t>
  </si>
  <si>
    <t>red</t>
  </si>
  <si>
    <t>green</t>
  </si>
  <si>
    <t>blue</t>
  </si>
  <si>
    <t>dmgUp1</t>
  </si>
  <si>
    <t>sight</t>
  </si>
  <si>
    <t>weapTp1</t>
  </si>
  <si>
    <t>dmgpt1</t>
  </si>
  <si>
    <t>weapType1</t>
  </si>
  <si>
    <t>Missilearc_1</t>
  </si>
  <si>
    <t>Missilespeed_1</t>
  </si>
  <si>
    <t>regenType</t>
  </si>
  <si>
    <t>backSw1</t>
  </si>
  <si>
    <t>defType</t>
  </si>
  <si>
    <t>dice1</t>
  </si>
  <si>
    <t>scaleBull</t>
  </si>
  <si>
    <t>points</t>
  </si>
  <si>
    <t>bountydice</t>
  </si>
  <si>
    <t>rangeN1</t>
  </si>
  <si>
    <t>targType</t>
  </si>
  <si>
    <t>MissileHoming_1</t>
  </si>
  <si>
    <t>dropItems</t>
  </si>
  <si>
    <t>bountysides</t>
  </si>
  <si>
    <t>regenHP</t>
  </si>
  <si>
    <t>type</t>
  </si>
  <si>
    <t>canFlee</t>
  </si>
  <si>
    <t>sides1</t>
  </si>
  <si>
    <t>collision</t>
  </si>
  <si>
    <t>bountyplus</t>
  </si>
  <si>
    <t>RngBuff1</t>
  </si>
  <si>
    <t>A44n</t>
  </si>
  <si>
    <t>ugho</t>
  </si>
  <si>
    <t>秒杀守护者</t>
  </si>
  <si>
    <t>3.2</t>
  </si>
  <si>
    <t>ReplaceableTextures\CommandButtons\BTNWindSerpent.blp</t>
  </si>
  <si>
    <t>units\naga\WindSerpent\WindSerpent.mdl</t>
  </si>
  <si>
    <t>36.0</t>
  </si>
  <si>
    <t>522.0</t>
  </si>
  <si>
    <t>0.0</t>
  </si>
  <si>
    <t>1.0</t>
  </si>
  <si>
    <t>230.0</t>
  </si>
  <si>
    <t>always</t>
  </si>
  <si>
    <t>600.0</t>
  </si>
  <si>
    <t xml:space="preserve"> </t>
  </si>
  <si>
    <t>60.0</t>
  </si>
  <si>
    <t>2000.0</t>
  </si>
  <si>
    <t>A45g</t>
  </si>
  <si>
    <t>污染源</t>
  </si>
  <si>
    <t>model\进攻怪\污染核心.mdx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</si>
</sst>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tabSelected="1" workbookViewId="0">
      <pane xSplit="2" ySplit="2" topLeftCell="F3" activePane="bottomRight" state="frozen"/>
      <selection/>
      <selection pane="topRight"/>
      <selection pane="bottomLeft"/>
      <selection pane="bottomRight" activeCell="F15" sqref="F15"/>
    </sheetView>
  </sheetViews>
  <sheetFormatPr defaultColWidth="9" defaultRowHeight="13.5"/>
  <cols>
    <col min="1" max="1" width="25.4247787610619" style="1" customWidth="1"/>
    <col min="2" max="2" width="12.6814159292035" style="1" customWidth="1"/>
    <col min="3" max="3" width="14.212389380531" style="1" customWidth="1"/>
    <col min="4" max="4" width="12.9469026548673" style="1" customWidth="1"/>
    <col min="5" max="5" width="19.0530973451327" style="1" customWidth="1"/>
    <col min="6" max="6" width="35.646017699115" style="1" customWidth="1"/>
    <col min="7" max="7" width="10.2300884955752" style="1" customWidth="1"/>
    <col min="8" max="8" width="11.2300884955752" customWidth="1"/>
    <col min="11" max="11" width="14.6725663716814" customWidth="1"/>
    <col min="12" max="18" width="9.76106194690266" style="1" customWidth="1"/>
    <col min="19" max="19" width="14.2743362831858" style="1" customWidth="1"/>
    <col min="20" max="20" width="27.0176991150442" style="1" customWidth="1"/>
    <col min="21" max="21" width="9.76106194690266" style="1" customWidth="1"/>
    <col min="22" max="22" width="26.0265486725664" style="1" customWidth="1"/>
    <col min="23" max="23" width="9.76106194690266" style="1" customWidth="1"/>
    <col min="24" max="25" width="16.7256637168142" style="1" customWidth="1"/>
    <col min="26" max="26" width="32.6548672566372" style="1" customWidth="1"/>
    <col min="27" max="16384" width="9.76106194690266" style="1" customWidth="1"/>
  </cols>
  <sheetData>
    <row r="1" ht="26" customHeight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ht="17" customHeight="1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t="s">
        <v>34</v>
      </c>
      <c r="I2" t="s">
        <v>35</v>
      </c>
      <c r="J2" t="s">
        <v>36</v>
      </c>
      <c r="K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</row>
    <row r="3" ht="17" customHeight="1" spans="1:21">
      <c r="A3" t="s">
        <v>54</v>
      </c>
      <c r="B3" s="2" t="s">
        <v>55</v>
      </c>
      <c r="C3" s="1" t="s">
        <v>56</v>
      </c>
      <c r="D3" t="s">
        <v>57</v>
      </c>
      <c r="E3" s="1" t="s">
        <v>58</v>
      </c>
      <c r="F3" s="1" t="s">
        <v>59</v>
      </c>
      <c r="H3">
        <v>255</v>
      </c>
      <c r="I3">
        <v>255</v>
      </c>
      <c r="J3">
        <v>255</v>
      </c>
      <c r="K3">
        <v>1</v>
      </c>
      <c r="L3" s="1">
        <v>3</v>
      </c>
      <c r="M3">
        <v>250</v>
      </c>
      <c r="N3">
        <v>100</v>
      </c>
      <c r="O3">
        <v>0</v>
      </c>
      <c r="P3">
        <v>20</v>
      </c>
      <c r="Q3">
        <v>1</v>
      </c>
      <c r="R3">
        <v>125</v>
      </c>
      <c r="S3">
        <v>200</v>
      </c>
      <c r="T3" s="1" t="s">
        <v>60</v>
      </c>
      <c r="U3" s="1" t="s">
        <v>61</v>
      </c>
    </row>
    <row r="4" ht="17" customHeight="1" spans="1:25">
      <c r="A4" t="s">
        <v>62</v>
      </c>
      <c r="B4" s="2" t="s">
        <v>55</v>
      </c>
      <c r="C4" s="1" t="s">
        <v>56</v>
      </c>
      <c r="D4" t="s">
        <v>63</v>
      </c>
      <c r="E4" s="1" t="s">
        <v>58</v>
      </c>
      <c r="F4" s="1" t="s">
        <v>64</v>
      </c>
      <c r="H4">
        <v>255</v>
      </c>
      <c r="I4">
        <v>255</v>
      </c>
      <c r="J4">
        <v>255</v>
      </c>
      <c r="K4">
        <v>1</v>
      </c>
      <c r="L4" s="1">
        <v>5</v>
      </c>
      <c r="M4">
        <v>350</v>
      </c>
      <c r="N4">
        <v>400</v>
      </c>
      <c r="O4">
        <v>10</v>
      </c>
      <c r="P4">
        <v>30</v>
      </c>
      <c r="Q4">
        <f>Q3-0.04</f>
        <v>0.96</v>
      </c>
      <c r="R4">
        <v>200</v>
      </c>
      <c r="S4">
        <v>200</v>
      </c>
      <c r="T4" s="1" t="s">
        <v>65</v>
      </c>
      <c r="U4" s="1" t="s">
        <v>61</v>
      </c>
      <c r="Y4" s="1">
        <v>0.005</v>
      </c>
    </row>
    <row r="5" ht="17" customHeight="1" spans="1:25">
      <c r="A5" t="s">
        <v>66</v>
      </c>
      <c r="B5" s="2" t="s">
        <v>55</v>
      </c>
      <c r="C5" s="1" t="s">
        <v>56</v>
      </c>
      <c r="D5" t="s">
        <v>67</v>
      </c>
      <c r="E5" s="1" t="s">
        <v>58</v>
      </c>
      <c r="F5" s="1" t="s">
        <v>68</v>
      </c>
      <c r="H5">
        <v>255</v>
      </c>
      <c r="I5">
        <v>255</v>
      </c>
      <c r="J5">
        <v>255</v>
      </c>
      <c r="K5">
        <v>1</v>
      </c>
      <c r="L5" s="1">
        <v>8</v>
      </c>
      <c r="M5">
        <v>350</v>
      </c>
      <c r="N5">
        <v>1200</v>
      </c>
      <c r="O5">
        <f>O4+10</f>
        <v>20</v>
      </c>
      <c r="P5">
        <v>50</v>
      </c>
      <c r="Q5">
        <f t="shared" ref="Q5:Q17" si="0">Q4-0.04</f>
        <v>0.92</v>
      </c>
      <c r="R5">
        <v>300</v>
      </c>
      <c r="S5">
        <v>250</v>
      </c>
      <c r="T5" s="1" t="s">
        <v>69</v>
      </c>
      <c r="U5" s="1" t="s">
        <v>61</v>
      </c>
      <c r="V5" s="1" t="s">
        <v>70</v>
      </c>
      <c r="Y5" s="1">
        <f>Y4+0.005</f>
        <v>0.01</v>
      </c>
    </row>
    <row r="6" ht="17" customHeight="1" spans="1:25">
      <c r="A6" t="s">
        <v>71</v>
      </c>
      <c r="B6" s="2" t="s">
        <v>55</v>
      </c>
      <c r="C6" s="1" t="s">
        <v>56</v>
      </c>
      <c r="D6" t="s">
        <v>72</v>
      </c>
      <c r="E6" s="1" t="s">
        <v>58</v>
      </c>
      <c r="F6" s="1" t="s">
        <v>73</v>
      </c>
      <c r="H6">
        <v>255</v>
      </c>
      <c r="I6">
        <v>255</v>
      </c>
      <c r="J6">
        <v>255</v>
      </c>
      <c r="K6">
        <v>1</v>
      </c>
      <c r="L6" s="1">
        <v>12</v>
      </c>
      <c r="M6">
        <v>440</v>
      </c>
      <c r="N6">
        <v>2400</v>
      </c>
      <c r="O6">
        <f t="shared" ref="O6:O17" si="1">O5+10</f>
        <v>30</v>
      </c>
      <c r="P6">
        <v>100</v>
      </c>
      <c r="Q6">
        <f t="shared" si="0"/>
        <v>0.88</v>
      </c>
      <c r="R6">
        <v>400</v>
      </c>
      <c r="S6">
        <v>300</v>
      </c>
      <c r="T6" s="1" t="s">
        <v>74</v>
      </c>
      <c r="U6" s="1" t="s">
        <v>61</v>
      </c>
      <c r="Y6" s="1">
        <f t="shared" ref="Y6:Y17" si="2">Y5+0.005</f>
        <v>0.015</v>
      </c>
    </row>
    <row r="7" ht="17" customHeight="1" spans="1:25">
      <c r="A7" t="s">
        <v>75</v>
      </c>
      <c r="B7" s="2" t="s">
        <v>55</v>
      </c>
      <c r="C7" s="1" t="s">
        <v>56</v>
      </c>
      <c r="D7" t="s">
        <v>76</v>
      </c>
      <c r="E7" s="1" t="s">
        <v>58</v>
      </c>
      <c r="F7" s="1" t="s">
        <v>77</v>
      </c>
      <c r="H7">
        <v>255</v>
      </c>
      <c r="I7">
        <v>255</v>
      </c>
      <c r="J7">
        <v>255</v>
      </c>
      <c r="K7">
        <v>1</v>
      </c>
      <c r="L7" s="1">
        <v>15</v>
      </c>
      <c r="M7">
        <v>260</v>
      </c>
      <c r="N7">
        <v>6000</v>
      </c>
      <c r="O7">
        <f t="shared" si="1"/>
        <v>40</v>
      </c>
      <c r="P7">
        <v>200</v>
      </c>
      <c r="Q7">
        <f t="shared" si="0"/>
        <v>0.84</v>
      </c>
      <c r="R7">
        <v>400</v>
      </c>
      <c r="S7">
        <v>400</v>
      </c>
      <c r="T7" s="1" t="s">
        <v>78</v>
      </c>
      <c r="U7" s="1" t="s">
        <v>61</v>
      </c>
      <c r="Y7" s="1">
        <f t="shared" si="2"/>
        <v>0.02</v>
      </c>
    </row>
    <row r="8" ht="17" customHeight="1" spans="1:25">
      <c r="A8" t="s">
        <v>79</v>
      </c>
      <c r="B8" s="2" t="s">
        <v>55</v>
      </c>
      <c r="C8" s="1" t="s">
        <v>56</v>
      </c>
      <c r="D8" t="s">
        <v>80</v>
      </c>
      <c r="E8" s="1" t="s">
        <v>58</v>
      </c>
      <c r="F8" s="1" t="s">
        <v>81</v>
      </c>
      <c r="H8">
        <v>255</v>
      </c>
      <c r="I8">
        <v>255</v>
      </c>
      <c r="J8">
        <v>255</v>
      </c>
      <c r="K8">
        <v>1</v>
      </c>
      <c r="L8" s="1">
        <v>20</v>
      </c>
      <c r="M8">
        <v>250</v>
      </c>
      <c r="N8">
        <v>15000</v>
      </c>
      <c r="O8">
        <f t="shared" si="1"/>
        <v>50</v>
      </c>
      <c r="P8">
        <v>500</v>
      </c>
      <c r="Q8">
        <f t="shared" si="0"/>
        <v>0.8</v>
      </c>
      <c r="R8">
        <v>125</v>
      </c>
      <c r="S8">
        <v>500</v>
      </c>
      <c r="T8" s="1" t="s">
        <v>82</v>
      </c>
      <c r="U8" s="1" t="s">
        <v>61</v>
      </c>
      <c r="Y8" s="1">
        <f t="shared" si="2"/>
        <v>0.025</v>
      </c>
    </row>
    <row r="9" ht="17" customHeight="1" spans="1:25">
      <c r="A9" t="s">
        <v>83</v>
      </c>
      <c r="B9" s="2" t="s">
        <v>55</v>
      </c>
      <c r="C9" s="1" t="s">
        <v>56</v>
      </c>
      <c r="D9" t="s">
        <v>84</v>
      </c>
      <c r="E9" s="1" t="s">
        <v>58</v>
      </c>
      <c r="F9" s="1" t="s">
        <v>85</v>
      </c>
      <c r="H9">
        <v>255</v>
      </c>
      <c r="I9">
        <v>255</v>
      </c>
      <c r="J9">
        <v>255</v>
      </c>
      <c r="K9">
        <v>1</v>
      </c>
      <c r="L9" s="1">
        <v>25</v>
      </c>
      <c r="M9">
        <v>250</v>
      </c>
      <c r="N9">
        <v>20000</v>
      </c>
      <c r="O9">
        <f t="shared" si="1"/>
        <v>60</v>
      </c>
      <c r="P9">
        <v>1000</v>
      </c>
      <c r="Q9">
        <f t="shared" si="0"/>
        <v>0.76</v>
      </c>
      <c r="R9">
        <v>150</v>
      </c>
      <c r="S9">
        <v>1000</v>
      </c>
      <c r="T9" s="1" t="s">
        <v>86</v>
      </c>
      <c r="U9" s="1" t="s">
        <v>87</v>
      </c>
      <c r="V9" s="1" t="s">
        <v>88</v>
      </c>
      <c r="W9" s="1">
        <v>200</v>
      </c>
      <c r="Y9" s="1">
        <f t="shared" si="2"/>
        <v>0.03</v>
      </c>
    </row>
    <row r="10" ht="17" customHeight="1" spans="1:25">
      <c r="A10" t="s">
        <v>89</v>
      </c>
      <c r="B10" s="2" t="s">
        <v>55</v>
      </c>
      <c r="C10" s="1" t="s">
        <v>56</v>
      </c>
      <c r="D10" t="s">
        <v>90</v>
      </c>
      <c r="E10" s="1" t="s">
        <v>58</v>
      </c>
      <c r="F10" s="1" t="s">
        <v>91</v>
      </c>
      <c r="H10">
        <v>255</v>
      </c>
      <c r="I10">
        <v>255</v>
      </c>
      <c r="J10">
        <v>255</v>
      </c>
      <c r="K10">
        <v>1</v>
      </c>
      <c r="L10" s="1">
        <v>30</v>
      </c>
      <c r="M10">
        <v>250</v>
      </c>
      <c r="N10">
        <v>40000</v>
      </c>
      <c r="O10">
        <f t="shared" si="1"/>
        <v>70</v>
      </c>
      <c r="P10">
        <v>2000</v>
      </c>
      <c r="Q10">
        <f t="shared" si="0"/>
        <v>0.72</v>
      </c>
      <c r="R10">
        <v>300</v>
      </c>
      <c r="S10">
        <f>S9+100</f>
        <v>1100</v>
      </c>
      <c r="T10" s="1" t="s">
        <v>92</v>
      </c>
      <c r="U10" s="1" t="s">
        <v>61</v>
      </c>
      <c r="V10" s="1" t="s">
        <v>93</v>
      </c>
      <c r="Y10" s="1">
        <f t="shared" si="2"/>
        <v>0.035</v>
      </c>
    </row>
    <row r="11" ht="17" customHeight="1" spans="1:25">
      <c r="A11" t="s">
        <v>94</v>
      </c>
      <c r="B11" s="2" t="s">
        <v>55</v>
      </c>
      <c r="C11" s="1" t="s">
        <v>56</v>
      </c>
      <c r="D11" t="s">
        <v>95</v>
      </c>
      <c r="E11" s="1" t="s">
        <v>58</v>
      </c>
      <c r="F11" t="s">
        <v>96</v>
      </c>
      <c r="H11">
        <v>255</v>
      </c>
      <c r="I11">
        <v>255</v>
      </c>
      <c r="J11">
        <v>255</v>
      </c>
      <c r="K11">
        <v>1</v>
      </c>
      <c r="L11" s="1">
        <v>35</v>
      </c>
      <c r="M11">
        <v>0</v>
      </c>
      <c r="N11">
        <v>60000</v>
      </c>
      <c r="O11">
        <f t="shared" si="1"/>
        <v>80</v>
      </c>
      <c r="P11">
        <v>3000</v>
      </c>
      <c r="Q11">
        <f t="shared" si="0"/>
        <v>0.68</v>
      </c>
      <c r="R11">
        <v>400</v>
      </c>
      <c r="S11">
        <f t="shared" ref="S11:S17" si="3">S10+100</f>
        <v>1200</v>
      </c>
      <c r="T11" s="1" t="s">
        <v>97</v>
      </c>
      <c r="U11" s="1" t="s">
        <v>61</v>
      </c>
      <c r="Y11" s="1">
        <f t="shared" si="2"/>
        <v>0.04</v>
      </c>
    </row>
    <row r="12" ht="17" customHeight="1" spans="1:25">
      <c r="A12" t="s">
        <v>98</v>
      </c>
      <c r="B12" s="2" t="s">
        <v>55</v>
      </c>
      <c r="C12" s="1" t="s">
        <v>56</v>
      </c>
      <c r="D12" t="s">
        <v>99</v>
      </c>
      <c r="E12" s="1" t="s">
        <v>58</v>
      </c>
      <c r="F12" s="1" t="s">
        <v>100</v>
      </c>
      <c r="H12">
        <v>255</v>
      </c>
      <c r="I12">
        <v>255</v>
      </c>
      <c r="J12">
        <v>255</v>
      </c>
      <c r="K12">
        <v>1</v>
      </c>
      <c r="L12" s="1">
        <v>40</v>
      </c>
      <c r="M12">
        <v>522</v>
      </c>
      <c r="N12">
        <v>100000</v>
      </c>
      <c r="O12">
        <f t="shared" si="1"/>
        <v>90</v>
      </c>
      <c r="P12">
        <v>5000</v>
      </c>
      <c r="Q12">
        <f t="shared" si="0"/>
        <v>0.64</v>
      </c>
      <c r="R12">
        <v>550</v>
      </c>
      <c r="S12">
        <f t="shared" si="3"/>
        <v>1300</v>
      </c>
      <c r="T12" s="1" t="s">
        <v>101</v>
      </c>
      <c r="U12" s="1" t="s">
        <v>87</v>
      </c>
      <c r="W12" s="1">
        <v>200</v>
      </c>
      <c r="Y12" s="1">
        <f t="shared" si="2"/>
        <v>0.045</v>
      </c>
    </row>
    <row r="13" ht="17" customHeight="1" spans="1:25">
      <c r="A13" t="s">
        <v>102</v>
      </c>
      <c r="B13" s="2" t="s">
        <v>55</v>
      </c>
      <c r="C13" s="1" t="s">
        <v>56</v>
      </c>
      <c r="D13" t="s">
        <v>103</v>
      </c>
      <c r="E13" s="1" t="s">
        <v>58</v>
      </c>
      <c r="F13" s="1" t="s">
        <v>104</v>
      </c>
      <c r="H13">
        <v>255</v>
      </c>
      <c r="I13">
        <v>255</v>
      </c>
      <c r="J13">
        <v>255</v>
      </c>
      <c r="K13">
        <v>1</v>
      </c>
      <c r="L13" s="1">
        <v>45</v>
      </c>
      <c r="M13">
        <v>250</v>
      </c>
      <c r="N13" s="1">
        <v>150000</v>
      </c>
      <c r="O13">
        <f t="shared" si="1"/>
        <v>100</v>
      </c>
      <c r="P13">
        <v>8000</v>
      </c>
      <c r="Q13">
        <f t="shared" si="0"/>
        <v>0.6</v>
      </c>
      <c r="R13">
        <v>175</v>
      </c>
      <c r="S13">
        <f t="shared" si="3"/>
        <v>1400</v>
      </c>
      <c r="T13" s="1" t="s">
        <v>105</v>
      </c>
      <c r="U13" s="1" t="s">
        <v>61</v>
      </c>
      <c r="Y13" s="1">
        <f t="shared" si="2"/>
        <v>0.05</v>
      </c>
    </row>
    <row r="14" ht="17" customHeight="1" spans="1:25">
      <c r="A14" t="s">
        <v>106</v>
      </c>
      <c r="B14" s="2" t="s">
        <v>55</v>
      </c>
      <c r="C14" s="1" t="s">
        <v>56</v>
      </c>
      <c r="D14" t="s">
        <v>107</v>
      </c>
      <c r="E14" s="1" t="s">
        <v>58</v>
      </c>
      <c r="F14" s="1" t="s">
        <v>108</v>
      </c>
      <c r="H14">
        <v>255</v>
      </c>
      <c r="I14">
        <v>255</v>
      </c>
      <c r="J14">
        <v>255</v>
      </c>
      <c r="K14">
        <v>2</v>
      </c>
      <c r="L14" s="1">
        <v>50</v>
      </c>
      <c r="M14">
        <v>250</v>
      </c>
      <c r="N14">
        <v>200000</v>
      </c>
      <c r="O14">
        <f t="shared" si="1"/>
        <v>110</v>
      </c>
      <c r="P14">
        <v>10000</v>
      </c>
      <c r="Q14">
        <f t="shared" si="0"/>
        <v>0.56</v>
      </c>
      <c r="R14">
        <v>600</v>
      </c>
      <c r="S14">
        <f t="shared" si="3"/>
        <v>1500</v>
      </c>
      <c r="T14" s="1" t="s">
        <v>109</v>
      </c>
      <c r="U14" s="1" t="s">
        <v>87</v>
      </c>
      <c r="V14" s="1" t="s">
        <v>110</v>
      </c>
      <c r="W14" s="1">
        <v>200</v>
      </c>
      <c r="Y14" s="1">
        <f t="shared" si="2"/>
        <v>0.055</v>
      </c>
    </row>
    <row r="15" ht="17" customHeight="1" spans="1:25">
      <c r="A15" t="s">
        <v>111</v>
      </c>
      <c r="B15" s="2" t="s">
        <v>55</v>
      </c>
      <c r="C15" s="1" t="s">
        <v>56</v>
      </c>
      <c r="D15" t="s">
        <v>112</v>
      </c>
      <c r="E15" s="1" t="s">
        <v>58</v>
      </c>
      <c r="F15" s="1" t="s">
        <v>113</v>
      </c>
      <c r="H15">
        <v>255</v>
      </c>
      <c r="I15">
        <v>255</v>
      </c>
      <c r="J15">
        <v>255</v>
      </c>
      <c r="K15">
        <v>1</v>
      </c>
      <c r="L15" s="1">
        <v>60</v>
      </c>
      <c r="M15">
        <v>420</v>
      </c>
      <c r="N15">
        <v>300000</v>
      </c>
      <c r="O15">
        <f t="shared" si="1"/>
        <v>120</v>
      </c>
      <c r="P15">
        <v>20000</v>
      </c>
      <c r="Q15">
        <f t="shared" si="0"/>
        <v>0.52</v>
      </c>
      <c r="R15">
        <v>800</v>
      </c>
      <c r="S15">
        <f t="shared" si="3"/>
        <v>1600</v>
      </c>
      <c r="T15" s="1" t="s">
        <v>114</v>
      </c>
      <c r="U15" s="1" t="s">
        <v>61</v>
      </c>
      <c r="Y15" s="1">
        <f t="shared" si="2"/>
        <v>0.06</v>
      </c>
    </row>
    <row r="16" ht="17" customHeight="1" spans="1:25">
      <c r="A16" t="s">
        <v>115</v>
      </c>
      <c r="B16" s="2" t="s">
        <v>55</v>
      </c>
      <c r="C16" s="1" t="s">
        <v>56</v>
      </c>
      <c r="D16" t="s">
        <v>116</v>
      </c>
      <c r="E16" s="1" t="s">
        <v>58</v>
      </c>
      <c r="F16" s="1" t="s">
        <v>117</v>
      </c>
      <c r="H16">
        <v>255</v>
      </c>
      <c r="I16">
        <v>255</v>
      </c>
      <c r="J16">
        <v>255</v>
      </c>
      <c r="K16">
        <v>1</v>
      </c>
      <c r="L16" s="1">
        <v>70</v>
      </c>
      <c r="M16">
        <v>300</v>
      </c>
      <c r="N16">
        <v>500000</v>
      </c>
      <c r="O16">
        <f t="shared" si="1"/>
        <v>130</v>
      </c>
      <c r="P16">
        <v>50000</v>
      </c>
      <c r="Q16">
        <f t="shared" si="0"/>
        <v>0.48</v>
      </c>
      <c r="R16">
        <v>175</v>
      </c>
      <c r="S16">
        <f t="shared" si="3"/>
        <v>1700</v>
      </c>
      <c r="T16" s="1" t="s">
        <v>118</v>
      </c>
      <c r="U16" s="1" t="s">
        <v>61</v>
      </c>
      <c r="Y16" s="1">
        <f t="shared" si="2"/>
        <v>0.065</v>
      </c>
    </row>
    <row r="17" ht="17" customHeight="1" spans="1:25">
      <c r="A17" t="s">
        <v>119</v>
      </c>
      <c r="B17" s="2" t="s">
        <v>55</v>
      </c>
      <c r="C17" s="1" t="s">
        <v>56</v>
      </c>
      <c r="D17" t="s">
        <v>120</v>
      </c>
      <c r="E17" s="1" t="s">
        <v>58</v>
      </c>
      <c r="F17" s="1" t="s">
        <v>121</v>
      </c>
      <c r="H17">
        <v>255</v>
      </c>
      <c r="I17">
        <v>255</v>
      </c>
      <c r="J17">
        <v>255</v>
      </c>
      <c r="K17">
        <v>0.3</v>
      </c>
      <c r="L17" s="1">
        <v>80</v>
      </c>
      <c r="M17">
        <v>200</v>
      </c>
      <c r="N17">
        <v>1000000</v>
      </c>
      <c r="O17">
        <f t="shared" si="1"/>
        <v>140</v>
      </c>
      <c r="P17">
        <v>100000</v>
      </c>
      <c r="Q17">
        <f t="shared" si="0"/>
        <v>0.44</v>
      </c>
      <c r="R17">
        <v>550</v>
      </c>
      <c r="S17">
        <f t="shared" si="3"/>
        <v>1800</v>
      </c>
      <c r="T17" s="1" t="s">
        <v>122</v>
      </c>
      <c r="U17" s="1" t="s">
        <v>61</v>
      </c>
      <c r="Y17" s="1">
        <f t="shared" si="2"/>
        <v>0.07</v>
      </c>
    </row>
    <row r="18" ht="17" customHeight="1" spans="1:17">
      <c r="A18" t="s">
        <v>123</v>
      </c>
      <c r="B18" s="2"/>
      <c r="N18"/>
      <c r="O18"/>
      <c r="P18"/>
      <c r="Q18"/>
    </row>
    <row r="19" ht="17" customHeight="1" spans="1:21">
      <c r="A19" t="s">
        <v>124</v>
      </c>
      <c r="B19" s="2" t="s">
        <v>125</v>
      </c>
      <c r="C19" s="1" t="s">
        <v>56</v>
      </c>
      <c r="D19" t="s">
        <v>67</v>
      </c>
      <c r="E19" s="1" t="s">
        <v>58</v>
      </c>
      <c r="F19" s="1" t="s">
        <v>68</v>
      </c>
      <c r="H19">
        <v>255</v>
      </c>
      <c r="I19">
        <v>255</v>
      </c>
      <c r="J19">
        <v>255</v>
      </c>
      <c r="K19">
        <v>0.5</v>
      </c>
      <c r="L19">
        <v>20</v>
      </c>
      <c r="M19">
        <v>350</v>
      </c>
      <c r="N19">
        <v>200</v>
      </c>
      <c r="O19">
        <v>0</v>
      </c>
      <c r="P19">
        <v>100</v>
      </c>
      <c r="Q19">
        <v>0.8</v>
      </c>
      <c r="R19">
        <v>300</v>
      </c>
      <c r="S19">
        <v>500</v>
      </c>
      <c r="T19" s="1" t="s">
        <v>69</v>
      </c>
      <c r="U19" s="1" t="s">
        <v>61</v>
      </c>
    </row>
    <row r="20" ht="17" customHeight="1" spans="1:22">
      <c r="A20" s="1" t="s">
        <v>126</v>
      </c>
      <c r="B20" s="2" t="s">
        <v>125</v>
      </c>
      <c r="C20" s="1" t="s">
        <v>56</v>
      </c>
      <c r="D20" s="1" t="s">
        <v>126</v>
      </c>
      <c r="E20" s="1" t="s">
        <v>58</v>
      </c>
      <c r="F20" s="1" t="s">
        <v>91</v>
      </c>
      <c r="H20">
        <v>255</v>
      </c>
      <c r="I20">
        <v>255</v>
      </c>
      <c r="J20">
        <v>255</v>
      </c>
      <c r="K20">
        <v>0.8</v>
      </c>
      <c r="L20">
        <v>20</v>
      </c>
      <c r="M20" s="1">
        <v>275</v>
      </c>
      <c r="N20" s="1">
        <v>10000</v>
      </c>
      <c r="O20" s="1">
        <v>0</v>
      </c>
      <c r="P20" s="1">
        <v>800</v>
      </c>
      <c r="Q20">
        <v>0.8</v>
      </c>
      <c r="R20">
        <v>300</v>
      </c>
      <c r="S20">
        <v>500</v>
      </c>
      <c r="T20" s="1" t="s">
        <v>127</v>
      </c>
      <c r="U20" s="1" t="s">
        <v>61</v>
      </c>
      <c r="V20" s="1" t="s">
        <v>128</v>
      </c>
    </row>
    <row r="21" ht="17" customHeight="1" spans="1:21">
      <c r="A21" s="1" t="s">
        <v>129</v>
      </c>
      <c r="B21" s="2" t="s">
        <v>125</v>
      </c>
      <c r="C21" s="1" t="s">
        <v>56</v>
      </c>
      <c r="D21" s="1" t="s">
        <v>129</v>
      </c>
      <c r="E21" s="1" t="s">
        <v>58</v>
      </c>
      <c r="F21" s="1" t="s">
        <v>91</v>
      </c>
      <c r="H21">
        <v>255</v>
      </c>
      <c r="I21">
        <v>255</v>
      </c>
      <c r="J21">
        <v>255</v>
      </c>
      <c r="K21">
        <v>0.5</v>
      </c>
      <c r="L21">
        <v>10</v>
      </c>
      <c r="M21" s="1">
        <v>276</v>
      </c>
      <c r="N21" s="1">
        <v>5000</v>
      </c>
      <c r="O21" s="1">
        <v>0</v>
      </c>
      <c r="P21" s="1">
        <v>1500</v>
      </c>
      <c r="Q21">
        <v>0.8</v>
      </c>
      <c r="R21">
        <v>300</v>
      </c>
      <c r="S21">
        <v>500</v>
      </c>
      <c r="T21" s="1" t="s">
        <v>130</v>
      </c>
      <c r="U21" s="1" t="s">
        <v>61</v>
      </c>
    </row>
    <row r="22" ht="17" customHeight="1" spans="1:21">
      <c r="A22" t="s">
        <v>131</v>
      </c>
      <c r="B22" s="2" t="s">
        <v>125</v>
      </c>
      <c r="C22" s="1" t="s">
        <v>56</v>
      </c>
      <c r="D22" t="s">
        <v>132</v>
      </c>
      <c r="E22" s="1" t="s">
        <v>58</v>
      </c>
      <c r="F22" s="1" t="s">
        <v>133</v>
      </c>
      <c r="H22">
        <v>255</v>
      </c>
      <c r="I22">
        <v>255</v>
      </c>
      <c r="J22">
        <v>255</v>
      </c>
      <c r="K22">
        <v>1</v>
      </c>
      <c r="L22" s="3">
        <v>20</v>
      </c>
      <c r="M22" s="1">
        <v>0</v>
      </c>
      <c r="N22" s="1">
        <v>30000</v>
      </c>
      <c r="O22" s="1">
        <v>0</v>
      </c>
      <c r="P22" s="1">
        <v>0</v>
      </c>
      <c r="Q22">
        <v>0.8</v>
      </c>
      <c r="R22">
        <v>0</v>
      </c>
      <c r="S22">
        <v>0</v>
      </c>
      <c r="U22" s="1" t="s">
        <v>61</v>
      </c>
    </row>
    <row r="23" ht="17" customHeight="1" spans="1:21">
      <c r="A23" t="s">
        <v>134</v>
      </c>
      <c r="B23" s="2" t="s">
        <v>125</v>
      </c>
      <c r="C23" s="1" t="s">
        <v>56</v>
      </c>
      <c r="D23" t="s">
        <v>135</v>
      </c>
      <c r="E23" s="1" t="s">
        <v>58</v>
      </c>
      <c r="F23" s="1" t="s">
        <v>136</v>
      </c>
      <c r="H23">
        <v>255</v>
      </c>
      <c r="I23">
        <v>255</v>
      </c>
      <c r="J23">
        <v>255</v>
      </c>
      <c r="K23">
        <v>1</v>
      </c>
      <c r="L23" s="3">
        <v>30</v>
      </c>
      <c r="M23" s="1">
        <v>0</v>
      </c>
      <c r="N23" s="1">
        <v>50000</v>
      </c>
      <c r="O23" s="1">
        <v>0</v>
      </c>
      <c r="P23" s="1">
        <v>3000</v>
      </c>
      <c r="Q23">
        <v>1</v>
      </c>
      <c r="R23">
        <v>600</v>
      </c>
      <c r="S23">
        <v>500</v>
      </c>
      <c r="T23" s="1" t="s">
        <v>105</v>
      </c>
      <c r="U23" s="1" t="s">
        <v>61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4"/>
  <sheetViews>
    <sheetView topLeftCell="K1" workbookViewId="0">
      <selection activeCell="P12" sqref="P12"/>
    </sheetView>
  </sheetViews>
  <sheetFormatPr defaultColWidth="9" defaultRowHeight="13.5" outlineLevelRow="3"/>
  <cols>
    <col min="1" max="1" width="9.86725663716814" style="1" customWidth="1"/>
    <col min="2" max="2" width="13.7610619469027" style="1" customWidth="1"/>
    <col min="3" max="3" width="16.7964601769912" style="1" customWidth="1"/>
    <col min="4" max="4" width="17.8672566371681" style="1" customWidth="1"/>
    <col min="5" max="5" width="12.1858407079646" style="1" customWidth="1"/>
    <col min="6" max="6" width="13.1327433628319" style="1" customWidth="1"/>
    <col min="7" max="7" width="10.0353982300885" style="1" customWidth="1"/>
    <col min="8" max="8" width="15.3362831858407" style="1" customWidth="1"/>
    <col min="9" max="9" width="52.5752212389381" style="1" customWidth="1"/>
    <col min="10" max="10" width="19.5309734513274" style="1" customWidth="1"/>
    <col min="11" max="11" width="53.5309734513274" style="1" customWidth="1"/>
    <col min="12" max="13" width="10.283185840708" style="1" customWidth="1"/>
    <col min="14" max="14" width="10.1504424778761" style="1" customWidth="1"/>
    <col min="15" max="15" width="13.0796460176991" style="1" customWidth="1"/>
    <col min="16" max="16" width="9.76106194690266" style="1" customWidth="1"/>
    <col min="17" max="17" width="15.7433628318584" style="1" customWidth="1"/>
    <col min="18" max="18" width="10.283185840708" customWidth="1"/>
    <col min="19" max="19" width="9.31858407079646" style="1" customWidth="1"/>
    <col min="20" max="20" width="11.6017699115044" style="1" customWidth="1"/>
    <col min="21" max="21" width="15.7345132743363" style="1" customWidth="1"/>
    <col min="22" max="23" width="11.6017699115044" style="1" customWidth="1"/>
    <col min="24" max="24" width="15.9646017699115" style="1" customWidth="1"/>
    <col min="25" max="25" width="15.3982300884956" style="1" customWidth="1"/>
    <col min="26" max="26" width="19.212389380531" style="1" customWidth="1"/>
    <col min="27" max="27" width="13.5840707964602" style="1" customWidth="1"/>
    <col min="28" max="28" width="28.1327433628319" style="1" customWidth="1"/>
    <col min="29" max="29" width="20.7522123893805" style="1" customWidth="1"/>
    <col min="30" max="30" width="25.1946902654867" style="1" customWidth="1"/>
    <col min="31" max="31" width="17.8495575221239" style="1" customWidth="1"/>
    <col min="32" max="32" width="15.0884955752212" style="1" customWidth="1"/>
    <col min="33" max="33" width="14.070796460177" style="1" customWidth="1"/>
    <col min="34" max="34" width="13.1327433628319" style="1" customWidth="1"/>
    <col min="35" max="35" width="15.0353982300885" style="1" customWidth="1"/>
    <col min="36" max="36" width="12.1858407079646" style="1" customWidth="1"/>
    <col min="37" max="37" width="19.7610619469027" style="1" customWidth="1"/>
    <col min="38" max="38" width="14.7433628318584" style="1" customWidth="1"/>
    <col min="39" max="39" width="15.9557522123894" style="1" customWidth="1"/>
    <col min="40" max="40" width="27.5663716814159" style="1" customWidth="1"/>
    <col min="41" max="41" width="27.9469026548673" style="1" customWidth="1"/>
    <col min="42" max="42" width="18.8141592920354" style="1" customWidth="1"/>
    <col min="43" max="43" width="14.7699115044248" style="1" customWidth="1"/>
    <col min="44" max="44" width="8.53097345132743" style="1" customWidth="1"/>
    <col min="45" max="45" width="13.3893805309735" style="1" customWidth="1"/>
    <col min="46" max="46" width="13.1327433628319" style="1" customWidth="1"/>
    <col min="47" max="47" width="14.141592920354" style="1" customWidth="1"/>
    <col min="48" max="48" width="18.8230088495575" style="1" customWidth="1"/>
    <col min="49" max="49" width="15.6902654867257" style="1" customWidth="1"/>
    <col min="50" max="16384" width="9" style="1"/>
  </cols>
  <sheetData>
    <row r="1" ht="37" customHeight="1" spans="1:54">
      <c r="A1" s="1" t="s">
        <v>27</v>
      </c>
      <c r="B1" s="1" t="s">
        <v>137</v>
      </c>
      <c r="C1" s="2" t="s">
        <v>138</v>
      </c>
      <c r="D1" s="2" t="s">
        <v>139</v>
      </c>
      <c r="E1" s="1" t="s">
        <v>15</v>
      </c>
      <c r="F1" s="1" t="s">
        <v>13</v>
      </c>
      <c r="G1" s="1" t="s">
        <v>140</v>
      </c>
      <c r="H1" s="1" t="s">
        <v>141</v>
      </c>
      <c r="I1" s="2" t="s">
        <v>142</v>
      </c>
      <c r="J1" s="1" t="s">
        <v>16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t="s">
        <v>155</v>
      </c>
      <c r="X1" s="1" t="s">
        <v>156</v>
      </c>
      <c r="Y1" s="1" t="s">
        <v>10</v>
      </c>
      <c r="Z1" s="1" t="s">
        <v>157</v>
      </c>
      <c r="AA1" s="1" t="s">
        <v>158</v>
      </c>
      <c r="AB1" s="1" t="s">
        <v>159</v>
      </c>
      <c r="AC1" s="1" t="s">
        <v>160</v>
      </c>
      <c r="AD1" s="2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168</v>
      </c>
      <c r="AL1" s="1" t="s">
        <v>169</v>
      </c>
      <c r="AM1" s="1" t="s">
        <v>170</v>
      </c>
      <c r="AN1" s="1" t="s">
        <v>171</v>
      </c>
      <c r="AO1" s="1" t="s">
        <v>172</v>
      </c>
      <c r="AP1" s="1" t="s">
        <v>173</v>
      </c>
      <c r="AQ1" s="2" t="s">
        <v>174</v>
      </c>
      <c r="AR1" s="1" t="s">
        <v>175</v>
      </c>
      <c r="AS1" s="1" t="s">
        <v>176</v>
      </c>
      <c r="AT1" s="1" t="s">
        <v>177</v>
      </c>
      <c r="AU1" s="1" t="s">
        <v>178</v>
      </c>
      <c r="AV1" s="1" t="s">
        <v>179</v>
      </c>
      <c r="AW1" s="1" t="s">
        <v>180</v>
      </c>
      <c r="AX1" s="1" t="s">
        <v>181</v>
      </c>
      <c r="AY1" s="1" t="s">
        <v>182</v>
      </c>
      <c r="AZ1" s="1" t="s">
        <v>183</v>
      </c>
      <c r="BA1" s="1" t="s">
        <v>184</v>
      </c>
      <c r="BB1" s="1" t="s">
        <v>185</v>
      </c>
    </row>
    <row r="2" spans="1:54">
      <c r="A2" s="1" t="s">
        <v>27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41</v>
      </c>
      <c r="H2" s="1" t="s">
        <v>191</v>
      </c>
      <c r="I2" s="2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t="s">
        <v>206</v>
      </c>
      <c r="X2" s="1" t="s">
        <v>207</v>
      </c>
      <c r="Y2" s="1" t="s">
        <v>37</v>
      </c>
      <c r="Z2" s="1" t="s">
        <v>208</v>
      </c>
      <c r="AA2" s="1" t="s">
        <v>209</v>
      </c>
      <c r="AB2" s="1" t="s">
        <v>210</v>
      </c>
      <c r="AC2" s="1" t="s">
        <v>211</v>
      </c>
      <c r="AD2" s="1" t="s">
        <v>212</v>
      </c>
      <c r="AE2" s="1" t="s">
        <v>213</v>
      </c>
      <c r="AF2" s="1" t="s">
        <v>214</v>
      </c>
      <c r="AG2" s="1" t="s">
        <v>215</v>
      </c>
      <c r="AH2" s="1" t="s">
        <v>216</v>
      </c>
      <c r="AI2" s="1" t="s">
        <v>217</v>
      </c>
      <c r="AJ2" s="1" t="s">
        <v>218</v>
      </c>
      <c r="AK2" s="1" t="s">
        <v>219</v>
      </c>
      <c r="AL2" s="1" t="s">
        <v>220</v>
      </c>
      <c r="AM2" s="1" t="s">
        <v>221</v>
      </c>
      <c r="AN2" s="1" t="s">
        <v>222</v>
      </c>
      <c r="AO2" s="1" t="s">
        <v>223</v>
      </c>
      <c r="AP2" s="1" t="s">
        <v>224</v>
      </c>
      <c r="AQ2" s="1" t="s">
        <v>225</v>
      </c>
      <c r="AR2" s="1" t="s">
        <v>226</v>
      </c>
      <c r="AS2" s="1" t="s">
        <v>227</v>
      </c>
      <c r="AT2" s="1" t="s">
        <v>228</v>
      </c>
      <c r="AU2" s="1" t="s">
        <v>229</v>
      </c>
      <c r="AV2" s="1" t="s">
        <v>230</v>
      </c>
      <c r="AW2" s="1" t="s">
        <v>231</v>
      </c>
      <c r="AX2" s="1" t="s">
        <v>232</v>
      </c>
      <c r="AY2" s="1" t="s">
        <v>233</v>
      </c>
      <c r="AZ2" s="1" t="s">
        <v>234</v>
      </c>
      <c r="BA2" s="1" t="s">
        <v>235</v>
      </c>
      <c r="BB2" s="1" t="s">
        <v>236</v>
      </c>
    </row>
    <row r="3" spans="1:54">
      <c r="A3" s="1" t="s">
        <v>237</v>
      </c>
      <c r="B3" s="1" t="s">
        <v>238</v>
      </c>
      <c r="C3" s="1" t="s">
        <v>239</v>
      </c>
      <c r="E3" s="1">
        <v>999999999</v>
      </c>
      <c r="F3" s="1">
        <v>5000000</v>
      </c>
      <c r="G3" s="1">
        <v>100</v>
      </c>
      <c r="H3" s="1" t="s">
        <v>240</v>
      </c>
      <c r="I3" s="1">
        <v>0.01</v>
      </c>
      <c r="J3" s="1">
        <v>0.1</v>
      </c>
      <c r="K3" s="1" t="s">
        <v>241</v>
      </c>
      <c r="L3" s="1" t="s">
        <v>242</v>
      </c>
      <c r="N3" s="1" t="s">
        <v>243</v>
      </c>
      <c r="P3" s="1" t="s">
        <v>244</v>
      </c>
      <c r="Q3" s="1">
        <v>0</v>
      </c>
      <c r="R3" s="1" t="s">
        <v>245</v>
      </c>
      <c r="V3" s="1">
        <v>300</v>
      </c>
      <c r="W3" s="1" t="s">
        <v>87</v>
      </c>
      <c r="X3" s="1" t="s">
        <v>246</v>
      </c>
      <c r="Y3" s="1">
        <v>2</v>
      </c>
      <c r="Z3" s="1">
        <v>255</v>
      </c>
      <c r="AA3" s="1">
        <v>0</v>
      </c>
      <c r="AB3" s="1">
        <v>0</v>
      </c>
      <c r="AC3" s="1" t="s">
        <v>247</v>
      </c>
      <c r="AD3" s="1">
        <v>1000</v>
      </c>
      <c r="AJ3" s="1" t="s">
        <v>248</v>
      </c>
      <c r="AM3" s="1" t="s">
        <v>246</v>
      </c>
      <c r="AO3" s="1" t="s">
        <v>249</v>
      </c>
      <c r="AP3" s="1" t="s">
        <v>245</v>
      </c>
      <c r="AQ3" s="1">
        <v>800</v>
      </c>
      <c r="AT3" s="1" t="s">
        <v>245</v>
      </c>
      <c r="AU3" s="1" t="s">
        <v>245</v>
      </c>
      <c r="AV3" s="1" t="s">
        <v>245</v>
      </c>
      <c r="AW3" s="1" t="s">
        <v>250</v>
      </c>
      <c r="AX3" s="1" t="s">
        <v>245</v>
      </c>
      <c r="AY3" s="1" t="s">
        <v>246</v>
      </c>
      <c r="AZ3" s="1" t="s">
        <v>251</v>
      </c>
      <c r="BA3" s="1" t="s">
        <v>245</v>
      </c>
      <c r="BB3" s="1" t="s">
        <v>252</v>
      </c>
    </row>
    <row r="4" spans="1:54">
      <c r="A4" s="1" t="s">
        <v>253</v>
      </c>
      <c r="B4" s="1" t="s">
        <v>238</v>
      </c>
      <c r="C4" s="1" t="s">
        <v>254</v>
      </c>
      <c r="D4" s="1">
        <v>1</v>
      </c>
      <c r="E4" s="1">
        <v>0</v>
      </c>
      <c r="F4" s="1">
        <v>5000000</v>
      </c>
      <c r="G4" s="1">
        <v>200</v>
      </c>
      <c r="H4" s="1" t="s">
        <v>240</v>
      </c>
      <c r="J4" s="1">
        <v>1</v>
      </c>
      <c r="K4" s="1" t="s">
        <v>241</v>
      </c>
      <c r="L4" s="1" t="s">
        <v>255</v>
      </c>
      <c r="N4" s="1" t="s">
        <v>243</v>
      </c>
      <c r="O4" s="1">
        <v>0</v>
      </c>
      <c r="P4" s="1">
        <v>0</v>
      </c>
      <c r="Q4" s="1">
        <v>1</v>
      </c>
      <c r="R4" s="1" t="s">
        <v>245</v>
      </c>
      <c r="V4" s="1">
        <v>300</v>
      </c>
      <c r="W4" s="1" t="s">
        <v>87</v>
      </c>
      <c r="X4" s="1" t="s">
        <v>246</v>
      </c>
      <c r="Y4" s="1">
        <v>2</v>
      </c>
      <c r="Z4" s="1">
        <v>0</v>
      </c>
      <c r="AA4" s="1">
        <v>255</v>
      </c>
      <c r="AB4" s="1">
        <v>0</v>
      </c>
      <c r="AC4" s="1" t="s">
        <v>247</v>
      </c>
      <c r="AD4" s="1">
        <v>1000</v>
      </c>
      <c r="AJ4" s="1" t="s">
        <v>248</v>
      </c>
      <c r="AM4" s="1" t="s">
        <v>246</v>
      </c>
      <c r="AO4" s="1" t="s">
        <v>249</v>
      </c>
      <c r="AP4" s="1" t="s">
        <v>245</v>
      </c>
      <c r="AQ4" s="1">
        <v>800</v>
      </c>
      <c r="AT4" s="1" t="s">
        <v>245</v>
      </c>
      <c r="AU4" s="1" t="s">
        <v>245</v>
      </c>
      <c r="AV4" s="1">
        <v>40000</v>
      </c>
      <c r="AW4" s="1" t="s">
        <v>250</v>
      </c>
      <c r="AX4" s="1" t="s">
        <v>245</v>
      </c>
      <c r="AY4" s="1" t="s">
        <v>246</v>
      </c>
      <c r="AZ4" s="1" t="s">
        <v>251</v>
      </c>
      <c r="BA4" s="1" t="s">
        <v>245</v>
      </c>
      <c r="BB4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进攻怪演员.ts</vt:lpstr>
      <vt:lpstr>野怪.uobj.ts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wuxc</cp:lastModifiedBy>
  <dcterms:created xsi:type="dcterms:W3CDTF">2023-11-26T10:10:00Z</dcterms:created>
  <dcterms:modified xsi:type="dcterms:W3CDTF">2024-01-19T02:53:47Z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CD14D8EECDB94105A96100BDC28FDCE4_13</vt:lpwstr>
  </property>
  <property fmtid="{D5CDD505-2E9C-101B-9397-08002B2CF9AE}" pid="4" name="KSOReadingLayout">
    <vt:bool>true</vt:bool>
  </property>
</Properties>
</file>
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firstSheet="2"/>
  </bookViews>
  <sheets>
    <sheet name="深度海域怪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<sst xmlns="http://schemas.openxmlformats.org/spreadsheetml/2006/main" count="254" uniqueCount="121">
  <si>
    <t>自定义id</t>
  </si>
  <si>
    <t>类别
&lt;%
import ActorTypeUtil from "@/ActorTypeUtil";
    for (let datum of data) {
        if (datum.id) {
            ActorTypeUtil.registerActorType(datum as any);
        }
    }
%&gt;</t>
  </si>
  <si>
    <t>基础模板</t>
  </si>
  <si>
    <t>名字</t>
  </si>
  <si>
    <t>图标</t>
  </si>
  <si>
    <t>模型</t>
  </si>
  <si>
    <t>技能列表</t>
  </si>
  <si>
    <t>红色通道</t>
  </si>
  <si>
    <t>绿色通道</t>
  </si>
  <si>
    <t>蓝色通道</t>
  </si>
  <si>
    <t>模型缩放</t>
  </si>
  <si>
    <t>奖金</t>
  </si>
  <si>
    <t>移速</t>
  </si>
  <si>
    <t>生命值</t>
  </si>
  <si>
    <t>护甲</t>
  </si>
  <si>
    <t>攻击力</t>
  </si>
  <si>
    <t>攻击间隔</t>
  </si>
  <si>
    <t>攻击范围</t>
  </si>
  <si>
    <t>主动攻击范围</t>
  </si>
  <si>
    <t>投射物模型</t>
  </si>
  <si>
    <t>移动类型</t>
  </si>
  <si>
    <t>死亡后诞生的单位</t>
  </si>
  <si>
    <t>飞行高度</t>
  </si>
  <si>
    <t>金币消耗</t>
  </si>
  <si>
    <t>附带伤害
&lt;%
import 造成伤害时附带目标最大生命值比例的伤害 from "state/单位/造成伤害时附带目标最大生命值比例的伤害";
    for (let d of data) {
        if (d.id &amp;&amp; d.附带伤害) {
            造成伤害时附带目标最大生命值比例的伤害.config[d.id] = d.附带伤害
        }
    }
%&gt;</t>
  </si>
  <si>
    <t>最大魔法值</t>
  </si>
  <si>
    <t>提示说明</t>
  </si>
  <si>
    <t>id</t>
  </si>
  <si>
    <t>class</t>
  </si>
  <si>
    <t>templateType</t>
  </si>
  <si>
    <t>name</t>
  </si>
  <si>
    <t>icon</t>
  </si>
  <si>
    <t>model</t>
  </si>
  <si>
    <t>abilities</t>
  </si>
  <si>
    <t>colorR</t>
  </si>
  <si>
    <t>colorG</t>
  </si>
  <si>
    <t>colorB</t>
  </si>
  <si>
    <t>modelScale</t>
  </si>
  <si>
    <t>bounty</t>
  </si>
  <si>
    <t>moveSpeed</t>
  </si>
  <si>
    <t>maxLife</t>
  </si>
  <si>
    <t>def</t>
  </si>
  <si>
    <t>damage</t>
  </si>
  <si>
    <t>damageCd</t>
  </si>
  <si>
    <t>range</t>
  </si>
  <si>
    <t>acquireRange</t>
  </si>
  <si>
    <t>missileModel</t>
  </si>
  <si>
    <t>moveType</t>
  </si>
  <si>
    <t>afterDeathBirthUnits</t>
  </si>
  <si>
    <t>flyHeight</t>
  </si>
  <si>
    <t>goldCost</t>
  </si>
  <si>
    <t>附带伤害</t>
  </si>
  <si>
    <t>maxMana</t>
  </si>
  <si>
    <t>describe</t>
  </si>
  <si>
    <t>深度海域怪1</t>
  </si>
  <si>
    <t>深度海域怪</t>
  </si>
  <si>
    <t>远程单位</t>
  </si>
  <si>
    <t>黑色船只</t>
  </si>
  <si>
    <t>ReplaceableTextures\CommandButtons\BTNCorruptedEnt.blp</t>
  </si>
  <si>
    <t>model\进攻怪\小木船.mdx</t>
  </si>
  <si>
    <t>Abilities\Weapons\HarpyMissile\HarpyMissile.mdx</t>
  </si>
  <si>
    <t>amph</t>
  </si>
  <si>
    <t>深度海域怪2</t>
  </si>
  <si>
    <t>触手</t>
  </si>
  <si>
    <t>Units\Creeps\ForgottenOne\ForgottenOneTent.mdx</t>
  </si>
  <si>
    <t>Abilities\Weapons\Banditmissile\Banditmissile.mdx</t>
  </si>
  <si>
    <t>深度海域怪3</t>
  </si>
  <si>
    <t>血红触手</t>
  </si>
  <si>
    <t>model\进攻怪\大触手.mdx</t>
  </si>
  <si>
    <t>Abilities\Weapons\FireballMissile\FireballMissile.mdx</t>
  </si>
  <si>
    <t>深度海域怪4</t>
  </si>
  <si>
    <t>迷宫怪物</t>
  </si>
  <si>
    <t>model\进攻怪\巡洋舰.mdx</t>
  </si>
  <si>
    <t>Abilities\Weapons\RedDragonBreath\RedDragonMissile.mdx</t>
  </si>
  <si>
    <t>深度海域怪5</t>
  </si>
  <si>
    <t>世外桃源怪物</t>
  </si>
  <si>
    <t>model\进攻怪\重舰.mdx</t>
  </si>
  <si>
    <t>abilities\weapons\catapult\catapultmissile.mdx</t>
  </si>
  <si>
    <t>深度海域怪6</t>
  </si>
  <si>
    <t>|cffff0000${id}</t>
  </si>
  <si>
    <t>model\进攻怪\海龟.mdx</t>
  </si>
  <si>
    <t>Abilities\Weapons\ChimaeraLightningMissile\ChimaeraLightningMissile.mdx</t>
  </si>
  <si>
    <t>深度海域怪7</t>
  </si>
  <si>
    <t>model\进攻怪\石像鬼.mdx</t>
  </si>
  <si>
    <t>Abilities\Weapons\Axe\AxeMissile.mdx</t>
  </si>
  <si>
    <t>深度海域怪8</t>
  </si>
  <si>
    <t>Units\Creeps\Hydra\Hydra.mdx</t>
  </si>
  <si>
    <t>Abilities\Weapons\NecromancerMissile\NecromancerMissile.mdx</t>
  </si>
  <si>
    <t>深度海域怪9</t>
  </si>
  <si>
    <t>Abilities\Weapons\AncestralGuardianMissile\AncestralGuardianMissile.mdx</t>
  </si>
  <si>
    <t>深度海域怪10</t>
  </si>
  <si>
    <t>model\进攻怪\飞蛇.mdx</t>
  </si>
  <si>
    <t>Abilities\Weapons\GreenDragonMissile\GreenDragonMissile.mdx</t>
  </si>
  <si>
    <t>深度海域怪11</t>
  </si>
  <si>
    <t>model\进攻怪\娜迦步兵.mdx</t>
  </si>
  <si>
    <t>Abilities\Weapons\FragDriller\FragDriller.mdx</t>
  </si>
  <si>
    <t>深度海域怪12</t>
  </si>
  <si>
    <t>model\进攻怪\太空堡垒.mdx</t>
  </si>
  <si>
    <t>Abilities\Weapons\BansheeMissile\BansheeMissile.mdx</t>
  </si>
  <si>
    <t>深度海域怪13</t>
  </si>
  <si>
    <t>Units\Critters\Hydralisk\Hydralisk.mdx</t>
  </si>
  <si>
    <t>Abilities\Weapons\KeeperGroveMissile\KeeperGroveMissile.mdl</t>
  </si>
  <si>
    <t>深度海域怪14</t>
  </si>
  <si>
    <t>model\进攻怪\阴影.mdx</t>
  </si>
  <si>
    <t>Abilities\Weapons\GargoyleMissile\GargoyleMissile.mdx</t>
  </si>
  <si>
    <t>深度海域怪15</t>
  </si>
  <si>
    <t>model\进攻怪\克苏恩眼睛.mdx</t>
  </si>
  <si>
    <t>Abilities\Weapons\MakuraMissile\MakuraMissile.mdx</t>
  </si>
  <si>
    <t>深度海域怪16</t>
  </si>
  <si>
    <t>model\进攻怪\海妖HD3.mdx</t>
  </si>
  <si>
    <t>深度海域怪17</t>
  </si>
  <si>
    <t>model\进攻怪\女妖.mdx</t>
  </si>
  <si>
    <t>深度海域怪18</t>
  </si>
  <si>
    <t>model\进攻怪\克苏恩.mdx</t>
  </si>
  <si>
    <t>深度海域怪19</t>
  </si>
  <si>
    <t>深度海域怪20</t>
  </si>
  <si>
    <t>深度海域怪21</t>
  </si>
  <si>
    <t>深度海域怪22</t>
  </si>
  <si>
    <t>深度海域怪23</t>
  </si>
  <si>
    <t>深度海域怪24</t>
  </si>
  <si>
    <t>深度海域怪25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</si>
</sst>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P3" sqref="P3"/>
    </sheetView>
  </sheetViews>
  <sheetFormatPr defaultColWidth="9" defaultRowHeight="13.5"/>
  <cols>
    <col min="1" max="1" width="14.2743362831858" style="1" customWidth="1"/>
    <col min="2" max="2" width="12.6814159292035" style="1" customWidth="1"/>
    <col min="3" max="3" width="14.212389380531" style="1" customWidth="1"/>
    <col min="4" max="4" width="22.9734513274336" style="1" customWidth="1"/>
    <col min="5" max="5" width="19.0530973451327" style="1" customWidth="1"/>
    <col min="6" max="6" width="35.646017699115" style="1" customWidth="1"/>
    <col min="7" max="7" width="10.2300884955752" style="1" customWidth="1"/>
    <col min="8" max="8" width="11.2300884955752" customWidth="1"/>
    <col min="11" max="11" width="14.6725663716814" customWidth="1"/>
    <col min="12" max="18" width="9.76106194690266" style="1" customWidth="1"/>
    <col min="19" max="19" width="14.2743362831858" style="1" customWidth="1"/>
    <col min="20" max="20" width="27.0176991150442" style="1" customWidth="1"/>
    <col min="21" max="21" width="9.03539823008849" style="1" customWidth="1"/>
    <col min="22" max="22" width="26.0265486725664" style="1" customWidth="1"/>
    <col min="23" max="23" width="9.76106194690266" style="1" customWidth="1"/>
    <col min="24" max="25" width="16.7256637168142" style="1" customWidth="1"/>
    <col min="26" max="26" width="32.6548672566372" style="1" customWidth="1"/>
    <col min="27" max="16384" width="9.76106194690266" style="1" customWidth="1"/>
  </cols>
  <sheetData>
    <row r="1" ht="26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17" customHeight="1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t="s">
        <v>34</v>
      </c>
      <c r="I2" t="s">
        <v>35</v>
      </c>
      <c r="J2" t="s">
        <v>36</v>
      </c>
      <c r="K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ht="17" customHeight="1" spans="1:25">
      <c r="A3" t="s">
        <v>54</v>
      </c>
      <c r="B3" s="2" t="s">
        <v>55</v>
      </c>
      <c r="C3" s="1" t="s">
        <v>56</v>
      </c>
      <c r="D3" t="s">
        <v>57</v>
      </c>
      <c r="E3" s="1" t="s">
        <v>58</v>
      </c>
      <c r="F3" s="1" t="s">
        <v>59</v>
      </c>
      <c r="H3">
        <v>0</v>
      </c>
      <c r="I3">
        <v>0</v>
      </c>
      <c r="J3">
        <v>0</v>
      </c>
      <c r="K3">
        <v>2</v>
      </c>
      <c r="L3" s="1">
        <v>0</v>
      </c>
      <c r="M3">
        <v>250</v>
      </c>
      <c r="N3">
        <v>2000000</v>
      </c>
      <c r="O3">
        <v>2000</v>
      </c>
      <c r="P3">
        <v>500000</v>
      </c>
      <c r="Q3">
        <v>1</v>
      </c>
      <c r="R3">
        <v>600</v>
      </c>
      <c r="S3">
        <v>5000</v>
      </c>
      <c r="T3" s="1" t="s">
        <v>60</v>
      </c>
      <c r="U3" s="1" t="s">
        <v>61</v>
      </c>
      <c r="Y3" s="1">
        <v>0.05</v>
      </c>
    </row>
    <row r="4" ht="17" customHeight="1" spans="1:25">
      <c r="A4" t="s">
        <v>62</v>
      </c>
      <c r="B4" s="2" t="s">
        <v>55</v>
      </c>
      <c r="C4" s="1" t="s">
        <v>56</v>
      </c>
      <c r="D4" t="s">
        <v>63</v>
      </c>
      <c r="E4" s="1" t="s">
        <v>58</v>
      </c>
      <c r="F4" t="s">
        <v>64</v>
      </c>
      <c r="H4">
        <v>255</v>
      </c>
      <c r="I4">
        <v>255</v>
      </c>
      <c r="J4">
        <v>255</v>
      </c>
      <c r="K4">
        <v>1</v>
      </c>
      <c r="L4" s="1">
        <v>0</v>
      </c>
      <c r="M4">
        <v>350</v>
      </c>
      <c r="N4">
        <f>N3*1.2</f>
        <v>2400000</v>
      </c>
      <c r="O4">
        <f>O3+200</f>
        <v>2200</v>
      </c>
      <c r="P4">
        <f>P3+100000</f>
        <v>600000</v>
      </c>
      <c r="Q4">
        <v>1</v>
      </c>
      <c r="R4">
        <v>600</v>
      </c>
      <c r="S4">
        <v>1000</v>
      </c>
      <c r="T4" s="1" t="s">
        <v>65</v>
      </c>
      <c r="U4" s="1" t="s">
        <v>61</v>
      </c>
      <c r="Y4" s="1">
        <f>Y3+0.01</f>
        <v>0.06</v>
      </c>
    </row>
    <row r="5" ht="17" customHeight="1" spans="1:25">
      <c r="A5" t="s">
        <v>66</v>
      </c>
      <c r="B5" s="2" t="s">
        <v>55</v>
      </c>
      <c r="C5" s="1" t="s">
        <v>56</v>
      </c>
      <c r="D5" t="s">
        <v>67</v>
      </c>
      <c r="E5" s="1" t="s">
        <v>58</v>
      </c>
      <c r="F5" t="s">
        <v>68</v>
      </c>
      <c r="H5">
        <v>255</v>
      </c>
      <c r="I5">
        <v>0</v>
      </c>
      <c r="J5">
        <v>0</v>
      </c>
      <c r="K5">
        <v>2</v>
      </c>
      <c r="L5" s="1">
        <v>0</v>
      </c>
      <c r="M5">
        <v>350</v>
      </c>
      <c r="N5">
        <f t="shared" ref="N5:N27" si="0">N4*1.2</f>
        <v>2880000</v>
      </c>
      <c r="O5">
        <f t="shared" ref="O5:O27" si="1">O4+200</f>
        <v>2400</v>
      </c>
      <c r="P5">
        <f t="shared" ref="P5:P27" si="2">P4+100000</f>
        <v>700000</v>
      </c>
      <c r="Q5">
        <v>1</v>
      </c>
      <c r="R5">
        <v>600</v>
      </c>
      <c r="S5">
        <v>1000</v>
      </c>
      <c r="T5" s="1" t="s">
        <v>69</v>
      </c>
      <c r="U5" s="1" t="s">
        <v>61</v>
      </c>
      <c r="Y5" s="1">
        <f t="shared" ref="Y5:Y27" si="3">Y4+0.01</f>
        <v>0.07</v>
      </c>
    </row>
    <row r="6" ht="17" customHeight="1" spans="1:25">
      <c r="A6" t="s">
        <v>70</v>
      </c>
      <c r="B6" s="2" t="s">
        <v>55</v>
      </c>
      <c r="C6" s="1" t="s">
        <v>56</v>
      </c>
      <c r="D6" t="s">
        <v>71</v>
      </c>
      <c r="E6" s="1" t="s">
        <v>58</v>
      </c>
      <c r="F6" s="1" t="s">
        <v>72</v>
      </c>
      <c r="H6">
        <v>255</v>
      </c>
      <c r="I6">
        <v>255</v>
      </c>
      <c r="J6">
        <v>255</v>
      </c>
      <c r="K6">
        <v>1</v>
      </c>
      <c r="L6" s="1">
        <v>0</v>
      </c>
      <c r="M6">
        <v>440</v>
      </c>
      <c r="N6">
        <f t="shared" si="0"/>
        <v>3456000</v>
      </c>
      <c r="O6">
        <f t="shared" si="1"/>
        <v>2600</v>
      </c>
      <c r="P6">
        <f t="shared" si="2"/>
        <v>800000</v>
      </c>
      <c r="Q6">
        <v>1</v>
      </c>
      <c r="R6">
        <v>600</v>
      </c>
      <c r="S6">
        <v>1000</v>
      </c>
      <c r="T6" s="1" t="s">
        <v>73</v>
      </c>
      <c r="U6" s="1" t="s">
        <v>61</v>
      </c>
      <c r="Y6" s="1">
        <f t="shared" si="3"/>
        <v>0.08</v>
      </c>
    </row>
    <row r="7" ht="17" customHeight="1" spans="1:25">
      <c r="A7" t="s">
        <v>74</v>
      </c>
      <c r="B7" s="2" t="s">
        <v>55</v>
      </c>
      <c r="C7" s="1" t="s">
        <v>56</v>
      </c>
      <c r="D7" t="s">
        <v>75</v>
      </c>
      <c r="E7" s="1" t="s">
        <v>58</v>
      </c>
      <c r="F7" s="1" t="s">
        <v>76</v>
      </c>
      <c r="H7">
        <v>255</v>
      </c>
      <c r="I7">
        <v>255</v>
      </c>
      <c r="J7">
        <v>255</v>
      </c>
      <c r="K7">
        <v>1</v>
      </c>
      <c r="L7" s="1">
        <v>0</v>
      </c>
      <c r="M7">
        <v>260</v>
      </c>
      <c r="N7">
        <f t="shared" si="0"/>
        <v>4147200</v>
      </c>
      <c r="O7">
        <f t="shared" si="1"/>
        <v>2800</v>
      </c>
      <c r="P7">
        <f t="shared" si="2"/>
        <v>900000</v>
      </c>
      <c r="Q7">
        <v>1</v>
      </c>
      <c r="R7">
        <v>600</v>
      </c>
      <c r="S7">
        <v>1000</v>
      </c>
      <c r="T7" s="1" t="s">
        <v>77</v>
      </c>
      <c r="U7" s="1" t="s">
        <v>61</v>
      </c>
      <c r="Y7" s="1">
        <f t="shared" si="3"/>
        <v>0.09</v>
      </c>
    </row>
    <row r="8" ht="17" customHeight="1" spans="1:25">
      <c r="A8" t="s">
        <v>78</v>
      </c>
      <c r="B8" s="2" t="s">
        <v>55</v>
      </c>
      <c r="C8" s="1" t="s">
        <v>56</v>
      </c>
      <c r="D8" t="s">
        <v>79</v>
      </c>
      <c r="E8" s="1" t="s">
        <v>58</v>
      </c>
      <c r="F8" s="1" t="s">
        <v>80</v>
      </c>
      <c r="H8">
        <v>255</v>
      </c>
      <c r="I8">
        <v>255</v>
      </c>
      <c r="J8">
        <v>255</v>
      </c>
      <c r="K8">
        <v>1</v>
      </c>
      <c r="L8" s="1">
        <v>0</v>
      </c>
      <c r="M8">
        <v>250</v>
      </c>
      <c r="N8">
        <f t="shared" si="0"/>
        <v>4976640</v>
      </c>
      <c r="O8">
        <f t="shared" si="1"/>
        <v>3000</v>
      </c>
      <c r="P8">
        <f t="shared" si="2"/>
        <v>1000000</v>
      </c>
      <c r="Q8">
        <v>1</v>
      </c>
      <c r="R8">
        <v>600</v>
      </c>
      <c r="S8">
        <v>1000</v>
      </c>
      <c r="T8" s="1" t="s">
        <v>81</v>
      </c>
      <c r="U8" s="1" t="s">
        <v>61</v>
      </c>
      <c r="Y8" s="1">
        <f t="shared" si="3"/>
        <v>0.1</v>
      </c>
    </row>
    <row r="9" ht="17" customHeight="1" spans="1:25">
      <c r="A9" t="s">
        <v>82</v>
      </c>
      <c r="B9" s="2" t="s">
        <v>55</v>
      </c>
      <c r="C9" s="1" t="s">
        <v>56</v>
      </c>
      <c r="D9" t="s">
        <v>79</v>
      </c>
      <c r="E9" s="1" t="s">
        <v>58</v>
      </c>
      <c r="F9" s="1" t="s">
        <v>83</v>
      </c>
      <c r="H9">
        <v>255</v>
      </c>
      <c r="I9">
        <v>255</v>
      </c>
      <c r="J9">
        <v>255</v>
      </c>
      <c r="K9">
        <v>1</v>
      </c>
      <c r="L9" s="1">
        <v>0</v>
      </c>
      <c r="M9">
        <v>250</v>
      </c>
      <c r="N9">
        <f t="shared" si="0"/>
        <v>5971968</v>
      </c>
      <c r="O9">
        <f t="shared" si="1"/>
        <v>3200</v>
      </c>
      <c r="P9">
        <f t="shared" si="2"/>
        <v>1100000</v>
      </c>
      <c r="Q9">
        <v>1</v>
      </c>
      <c r="R9">
        <v>600</v>
      </c>
      <c r="S9">
        <v>1000</v>
      </c>
      <c r="T9" s="1" t="s">
        <v>84</v>
      </c>
      <c r="U9" s="1" t="s">
        <v>61</v>
      </c>
      <c r="W9" s="1">
        <v>200</v>
      </c>
      <c r="Y9" s="1">
        <f t="shared" si="3"/>
        <v>0.11</v>
      </c>
    </row>
    <row r="10" ht="17" customHeight="1" spans="1:25">
      <c r="A10" t="s">
        <v>85</v>
      </c>
      <c r="B10" s="2" t="s">
        <v>55</v>
      </c>
      <c r="C10" s="1" t="s">
        <v>56</v>
      </c>
      <c r="D10" t="s">
        <v>79</v>
      </c>
      <c r="E10" s="1" t="s">
        <v>58</v>
      </c>
      <c r="F10" s="1" t="s">
        <v>86</v>
      </c>
      <c r="H10">
        <v>255</v>
      </c>
      <c r="I10">
        <v>255</v>
      </c>
      <c r="J10">
        <v>255</v>
      </c>
      <c r="K10">
        <v>1</v>
      </c>
      <c r="L10" s="1">
        <v>0</v>
      </c>
      <c r="M10">
        <v>250</v>
      </c>
      <c r="N10">
        <f t="shared" si="0"/>
        <v>7166361.6</v>
      </c>
      <c r="O10">
        <f t="shared" si="1"/>
        <v>3400</v>
      </c>
      <c r="P10">
        <f t="shared" si="2"/>
        <v>1200000</v>
      </c>
      <c r="Q10">
        <v>1</v>
      </c>
      <c r="R10">
        <v>600</v>
      </c>
      <c r="S10">
        <v>1000</v>
      </c>
      <c r="T10" s="1" t="s">
        <v>87</v>
      </c>
      <c r="U10" s="1" t="s">
        <v>61</v>
      </c>
      <c r="Y10" s="1">
        <f t="shared" si="3"/>
        <v>0.12</v>
      </c>
    </row>
    <row r="11" ht="17" customHeight="1" spans="1:25">
      <c r="A11" t="s">
        <v>88</v>
      </c>
      <c r="B11" s="2" t="s">
        <v>55</v>
      </c>
      <c r="C11" s="1" t="s">
        <v>56</v>
      </c>
      <c r="D11" t="s">
        <v>79</v>
      </c>
      <c r="E11" s="1" t="s">
        <v>58</v>
      </c>
      <c r="F11" t="s">
        <v>64</v>
      </c>
      <c r="H11">
        <v>255</v>
      </c>
      <c r="I11">
        <v>255</v>
      </c>
      <c r="J11">
        <v>255</v>
      </c>
      <c r="K11">
        <v>1</v>
      </c>
      <c r="L11" s="1">
        <v>0</v>
      </c>
      <c r="M11">
        <v>0</v>
      </c>
      <c r="N11">
        <f t="shared" si="0"/>
        <v>8599633.92</v>
      </c>
      <c r="O11">
        <f t="shared" si="1"/>
        <v>3600</v>
      </c>
      <c r="P11">
        <f t="shared" si="2"/>
        <v>1300000</v>
      </c>
      <c r="Q11">
        <v>1</v>
      </c>
      <c r="R11">
        <v>600</v>
      </c>
      <c r="S11">
        <v>1000</v>
      </c>
      <c r="T11" s="1" t="s">
        <v>89</v>
      </c>
      <c r="U11" s="1" t="s">
        <v>61</v>
      </c>
      <c r="Y11" s="1">
        <f t="shared" si="3"/>
        <v>0.13</v>
      </c>
    </row>
    <row r="12" ht="17" customHeight="1" spans="1:25">
      <c r="A12" t="s">
        <v>90</v>
      </c>
      <c r="B12" s="2" t="s">
        <v>55</v>
      </c>
      <c r="C12" s="1" t="s">
        <v>56</v>
      </c>
      <c r="D12" t="s">
        <v>79</v>
      </c>
      <c r="E12" s="1" t="s">
        <v>58</v>
      </c>
      <c r="F12" s="1" t="s">
        <v>91</v>
      </c>
      <c r="H12">
        <v>255</v>
      </c>
      <c r="I12">
        <v>255</v>
      </c>
      <c r="J12">
        <v>255</v>
      </c>
      <c r="K12">
        <v>1</v>
      </c>
      <c r="L12" s="1">
        <v>0</v>
      </c>
      <c r="M12">
        <v>522</v>
      </c>
      <c r="N12">
        <f t="shared" si="0"/>
        <v>10319560.704</v>
      </c>
      <c r="O12">
        <f t="shared" si="1"/>
        <v>3800</v>
      </c>
      <c r="P12">
        <f t="shared" si="2"/>
        <v>1400000</v>
      </c>
      <c r="Q12">
        <v>1</v>
      </c>
      <c r="R12">
        <v>600</v>
      </c>
      <c r="S12">
        <v>1000</v>
      </c>
      <c r="T12" s="1" t="s">
        <v>92</v>
      </c>
      <c r="U12" s="1" t="s">
        <v>61</v>
      </c>
      <c r="W12" s="1">
        <v>200</v>
      </c>
      <c r="Y12" s="1">
        <f t="shared" si="3"/>
        <v>0.14</v>
      </c>
    </row>
    <row r="13" ht="17" customHeight="1" spans="1:25">
      <c r="A13" t="s">
        <v>93</v>
      </c>
      <c r="B13" s="2" t="s">
        <v>55</v>
      </c>
      <c r="C13" s="1" t="s">
        <v>56</v>
      </c>
      <c r="D13" t="s">
        <v>79</v>
      </c>
      <c r="E13" s="1" t="s">
        <v>58</v>
      </c>
      <c r="F13" s="1" t="s">
        <v>94</v>
      </c>
      <c r="H13">
        <v>255</v>
      </c>
      <c r="I13">
        <v>255</v>
      </c>
      <c r="J13">
        <v>255</v>
      </c>
      <c r="K13">
        <v>1</v>
      </c>
      <c r="L13" s="1">
        <v>0</v>
      </c>
      <c r="M13">
        <v>250</v>
      </c>
      <c r="N13">
        <f t="shared" si="0"/>
        <v>12383472.8448</v>
      </c>
      <c r="O13">
        <f t="shared" si="1"/>
        <v>4000</v>
      </c>
      <c r="P13">
        <f t="shared" si="2"/>
        <v>1500000</v>
      </c>
      <c r="Q13">
        <v>1</v>
      </c>
      <c r="R13">
        <v>600</v>
      </c>
      <c r="S13">
        <v>1000</v>
      </c>
      <c r="T13" s="1" t="s">
        <v>95</v>
      </c>
      <c r="U13" s="1" t="s">
        <v>61</v>
      </c>
      <c r="Y13" s="1">
        <f t="shared" si="3"/>
        <v>0.15</v>
      </c>
    </row>
    <row r="14" ht="17" customHeight="1" spans="1:25">
      <c r="A14" t="s">
        <v>96</v>
      </c>
      <c r="B14" s="2" t="s">
        <v>55</v>
      </c>
      <c r="C14" s="1" t="s">
        <v>56</v>
      </c>
      <c r="D14" t="s">
        <v>79</v>
      </c>
      <c r="E14" s="1" t="s">
        <v>58</v>
      </c>
      <c r="F14" s="1" t="s">
        <v>97</v>
      </c>
      <c r="H14">
        <v>255</v>
      </c>
      <c r="I14">
        <v>255</v>
      </c>
      <c r="J14">
        <v>255</v>
      </c>
      <c r="K14">
        <v>1</v>
      </c>
      <c r="L14" s="1">
        <v>0</v>
      </c>
      <c r="M14">
        <v>250</v>
      </c>
      <c r="N14">
        <f t="shared" si="0"/>
        <v>14860167.41376</v>
      </c>
      <c r="O14">
        <f t="shared" si="1"/>
        <v>4200</v>
      </c>
      <c r="P14">
        <f t="shared" si="2"/>
        <v>1600000</v>
      </c>
      <c r="Q14">
        <v>1</v>
      </c>
      <c r="R14">
        <v>600</v>
      </c>
      <c r="S14">
        <v>1000</v>
      </c>
      <c r="T14" s="1" t="s">
        <v>98</v>
      </c>
      <c r="U14" s="1" t="s">
        <v>61</v>
      </c>
      <c r="W14" s="1">
        <v>200</v>
      </c>
      <c r="Y14" s="1">
        <f t="shared" si="3"/>
        <v>0.16</v>
      </c>
    </row>
    <row r="15" ht="17" customHeight="1" spans="1:25">
      <c r="A15" t="s">
        <v>99</v>
      </c>
      <c r="B15" s="2" t="s">
        <v>55</v>
      </c>
      <c r="C15" s="1" t="s">
        <v>56</v>
      </c>
      <c r="D15" t="s">
        <v>79</v>
      </c>
      <c r="E15" s="1" t="s">
        <v>58</v>
      </c>
      <c r="F15" s="1" t="s">
        <v>100</v>
      </c>
      <c r="H15">
        <v>255</v>
      </c>
      <c r="I15">
        <v>255</v>
      </c>
      <c r="J15">
        <v>255</v>
      </c>
      <c r="K15">
        <v>1</v>
      </c>
      <c r="L15" s="1">
        <v>0</v>
      </c>
      <c r="M15">
        <v>420</v>
      </c>
      <c r="N15">
        <f t="shared" si="0"/>
        <v>17832200.896512</v>
      </c>
      <c r="O15">
        <f t="shared" si="1"/>
        <v>4400</v>
      </c>
      <c r="P15">
        <f t="shared" si="2"/>
        <v>1700000</v>
      </c>
      <c r="Q15">
        <v>1</v>
      </c>
      <c r="R15">
        <v>600</v>
      </c>
      <c r="S15">
        <v>1000</v>
      </c>
      <c r="T15" s="1" t="s">
        <v>101</v>
      </c>
      <c r="U15" s="1" t="s">
        <v>61</v>
      </c>
      <c r="Y15" s="1">
        <f t="shared" si="3"/>
        <v>0.17</v>
      </c>
    </row>
    <row r="16" ht="17" customHeight="1" spans="1:25">
      <c r="A16" t="s">
        <v>102</v>
      </c>
      <c r="B16" s="2" t="s">
        <v>55</v>
      </c>
      <c r="C16" s="1" t="s">
        <v>56</v>
      </c>
      <c r="D16" t="s">
        <v>79</v>
      </c>
      <c r="E16" s="1" t="s">
        <v>58</v>
      </c>
      <c r="F16" s="1" t="s">
        <v>103</v>
      </c>
      <c r="H16">
        <v>255</v>
      </c>
      <c r="I16">
        <v>255</v>
      </c>
      <c r="J16">
        <v>255</v>
      </c>
      <c r="K16">
        <v>1</v>
      </c>
      <c r="L16" s="1">
        <v>0</v>
      </c>
      <c r="M16">
        <v>300</v>
      </c>
      <c r="N16">
        <f t="shared" si="0"/>
        <v>21398641.0758144</v>
      </c>
      <c r="O16">
        <f t="shared" si="1"/>
        <v>4600</v>
      </c>
      <c r="P16">
        <f t="shared" si="2"/>
        <v>1800000</v>
      </c>
      <c r="Q16">
        <v>1</v>
      </c>
      <c r="R16">
        <v>600</v>
      </c>
      <c r="S16">
        <v>1000</v>
      </c>
      <c r="T16" s="1" t="s">
        <v>104</v>
      </c>
      <c r="U16" s="1" t="s">
        <v>61</v>
      </c>
      <c r="Y16" s="1">
        <f t="shared" si="3"/>
        <v>0.18</v>
      </c>
    </row>
    <row r="17" ht="17" customHeight="1" spans="1:25">
      <c r="A17" t="s">
        <v>105</v>
      </c>
      <c r="B17" s="2" t="s">
        <v>55</v>
      </c>
      <c r="C17" s="1" t="s">
        <v>56</v>
      </c>
      <c r="D17" t="s">
        <v>79</v>
      </c>
      <c r="E17" s="1" t="s">
        <v>58</v>
      </c>
      <c r="F17" s="1" t="s">
        <v>106</v>
      </c>
      <c r="H17">
        <v>255</v>
      </c>
      <c r="I17">
        <v>255</v>
      </c>
      <c r="J17">
        <v>255</v>
      </c>
      <c r="K17">
        <v>1</v>
      </c>
      <c r="L17" s="1">
        <v>0</v>
      </c>
      <c r="M17">
        <v>200</v>
      </c>
      <c r="N17">
        <f t="shared" si="0"/>
        <v>25678369.2909773</v>
      </c>
      <c r="O17">
        <f t="shared" si="1"/>
        <v>4800</v>
      </c>
      <c r="P17">
        <f t="shared" si="2"/>
        <v>1900000</v>
      </c>
      <c r="Q17">
        <v>1</v>
      </c>
      <c r="R17">
        <v>600</v>
      </c>
      <c r="S17">
        <v>1000</v>
      </c>
      <c r="T17" s="1" t="s">
        <v>107</v>
      </c>
      <c r="U17" s="1" t="s">
        <v>61</v>
      </c>
      <c r="Y17" s="1">
        <f t="shared" si="3"/>
        <v>0.19</v>
      </c>
    </row>
    <row r="18" ht="17" customHeight="1" spans="1:25">
      <c r="A18" t="s">
        <v>108</v>
      </c>
      <c r="B18" s="2" t="s">
        <v>55</v>
      </c>
      <c r="C18" s="1" t="s">
        <v>56</v>
      </c>
      <c r="D18" t="s">
        <v>79</v>
      </c>
      <c r="E18" s="1" t="s">
        <v>58</v>
      </c>
      <c r="F18" s="1" t="s">
        <v>109</v>
      </c>
      <c r="H18">
        <v>255</v>
      </c>
      <c r="I18">
        <v>255</v>
      </c>
      <c r="J18">
        <v>255</v>
      </c>
      <c r="K18">
        <v>1</v>
      </c>
      <c r="L18" s="1">
        <v>0</v>
      </c>
      <c r="M18">
        <v>200</v>
      </c>
      <c r="N18">
        <f t="shared" si="0"/>
        <v>30814043.1491727</v>
      </c>
      <c r="O18">
        <f t="shared" si="1"/>
        <v>5000</v>
      </c>
      <c r="P18">
        <f t="shared" si="2"/>
        <v>2000000</v>
      </c>
      <c r="Q18">
        <v>1</v>
      </c>
      <c r="R18">
        <v>600</v>
      </c>
      <c r="S18">
        <v>1000</v>
      </c>
      <c r="T18" s="1" t="s">
        <v>107</v>
      </c>
      <c r="U18" s="1" t="s">
        <v>61</v>
      </c>
      <c r="Y18" s="1">
        <f t="shared" si="3"/>
        <v>0.2</v>
      </c>
    </row>
    <row r="19" ht="17" customHeight="1" spans="1:25">
      <c r="A19" t="s">
        <v>110</v>
      </c>
      <c r="B19" s="2" t="s">
        <v>55</v>
      </c>
      <c r="C19" s="1" t="s">
        <v>56</v>
      </c>
      <c r="D19" t="s">
        <v>79</v>
      </c>
      <c r="E19" s="1" t="s">
        <v>58</v>
      </c>
      <c r="F19" s="1" t="s">
        <v>111</v>
      </c>
      <c r="H19">
        <v>255</v>
      </c>
      <c r="I19">
        <v>255</v>
      </c>
      <c r="J19">
        <v>255</v>
      </c>
      <c r="K19">
        <v>1</v>
      </c>
      <c r="L19" s="1">
        <v>0</v>
      </c>
      <c r="M19">
        <v>200</v>
      </c>
      <c r="N19">
        <f t="shared" si="0"/>
        <v>36976851.7790073</v>
      </c>
      <c r="O19">
        <f t="shared" si="1"/>
        <v>5200</v>
      </c>
      <c r="P19">
        <f t="shared" si="2"/>
        <v>2100000</v>
      </c>
      <c r="Q19">
        <v>1</v>
      </c>
      <c r="R19">
        <v>600</v>
      </c>
      <c r="S19">
        <v>1000</v>
      </c>
      <c r="T19" s="1" t="s">
        <v>107</v>
      </c>
      <c r="U19" s="1" t="s">
        <v>61</v>
      </c>
      <c r="Y19" s="1">
        <f t="shared" si="3"/>
        <v>0.21</v>
      </c>
    </row>
    <row r="20" ht="17" customHeight="1" spans="1:25">
      <c r="A20" t="s">
        <v>112</v>
      </c>
      <c r="B20" s="2" t="s">
        <v>55</v>
      </c>
      <c r="C20" s="1" t="s">
        <v>56</v>
      </c>
      <c r="D20" t="s">
        <v>79</v>
      </c>
      <c r="E20" s="1" t="s">
        <v>58</v>
      </c>
      <c r="F20" s="1" t="s">
        <v>113</v>
      </c>
      <c r="H20">
        <v>255</v>
      </c>
      <c r="I20">
        <v>255</v>
      </c>
      <c r="J20">
        <v>255</v>
      </c>
      <c r="K20">
        <v>1</v>
      </c>
      <c r="L20" s="1">
        <v>0</v>
      </c>
      <c r="M20">
        <v>200</v>
      </c>
      <c r="N20">
        <f t="shared" si="0"/>
        <v>44372222.1348087</v>
      </c>
      <c r="O20">
        <f t="shared" si="1"/>
        <v>5400</v>
      </c>
      <c r="P20">
        <f t="shared" si="2"/>
        <v>2200000</v>
      </c>
      <c r="Q20">
        <v>1</v>
      </c>
      <c r="R20">
        <v>600</v>
      </c>
      <c r="S20">
        <v>1000</v>
      </c>
      <c r="T20" s="1" t="s">
        <v>107</v>
      </c>
      <c r="U20" s="1" t="s">
        <v>61</v>
      </c>
      <c r="Y20" s="1">
        <f t="shared" si="3"/>
        <v>0.22</v>
      </c>
    </row>
    <row r="21" ht="17" customHeight="1" spans="1:25">
      <c r="A21" t="s">
        <v>114</v>
      </c>
      <c r="B21" s="2" t="s">
        <v>55</v>
      </c>
      <c r="C21" s="1" t="s">
        <v>56</v>
      </c>
      <c r="D21" t="s">
        <v>79</v>
      </c>
      <c r="E21" s="1" t="s">
        <v>58</v>
      </c>
      <c r="F21" s="1" t="s">
        <v>106</v>
      </c>
      <c r="H21">
        <v>255</v>
      </c>
      <c r="I21">
        <v>255</v>
      </c>
      <c r="J21">
        <v>255</v>
      </c>
      <c r="K21">
        <v>1</v>
      </c>
      <c r="L21" s="1">
        <v>0</v>
      </c>
      <c r="M21">
        <v>200</v>
      </c>
      <c r="N21">
        <f t="shared" si="0"/>
        <v>53246666.5617705</v>
      </c>
      <c r="O21">
        <f t="shared" si="1"/>
        <v>5600</v>
      </c>
      <c r="P21">
        <f t="shared" si="2"/>
        <v>2300000</v>
      </c>
      <c r="Q21">
        <v>1</v>
      </c>
      <c r="R21">
        <v>600</v>
      </c>
      <c r="S21">
        <v>1000</v>
      </c>
      <c r="T21" s="1" t="s">
        <v>107</v>
      </c>
      <c r="U21" s="1" t="s">
        <v>61</v>
      </c>
      <c r="Y21" s="1">
        <f t="shared" si="3"/>
        <v>0.23</v>
      </c>
    </row>
    <row r="22" ht="17" customHeight="1" spans="1:25">
      <c r="A22" t="s">
        <v>115</v>
      </c>
      <c r="B22" s="2" t="s">
        <v>55</v>
      </c>
      <c r="C22" s="1" t="s">
        <v>56</v>
      </c>
      <c r="D22" t="s">
        <v>79</v>
      </c>
      <c r="E22" s="1" t="s">
        <v>58</v>
      </c>
      <c r="F22" s="1" t="s">
        <v>106</v>
      </c>
      <c r="H22">
        <v>255</v>
      </c>
      <c r="I22">
        <v>255</v>
      </c>
      <c r="J22">
        <v>255</v>
      </c>
      <c r="K22">
        <v>1</v>
      </c>
      <c r="L22" s="1">
        <v>0</v>
      </c>
      <c r="M22">
        <v>200</v>
      </c>
      <c r="N22">
        <f t="shared" si="0"/>
        <v>63895999.8741246</v>
      </c>
      <c r="O22">
        <f t="shared" si="1"/>
        <v>5800</v>
      </c>
      <c r="P22">
        <f t="shared" si="2"/>
        <v>2400000</v>
      </c>
      <c r="Q22">
        <v>1</v>
      </c>
      <c r="R22">
        <v>600</v>
      </c>
      <c r="S22">
        <v>1000</v>
      </c>
      <c r="T22" s="1" t="s">
        <v>107</v>
      </c>
      <c r="U22" s="1" t="s">
        <v>61</v>
      </c>
      <c r="Y22" s="1">
        <f t="shared" si="3"/>
        <v>0.24</v>
      </c>
    </row>
    <row r="23" ht="17" customHeight="1" spans="1:25">
      <c r="A23" t="s">
        <v>116</v>
      </c>
      <c r="B23" s="2" t="s">
        <v>55</v>
      </c>
      <c r="C23" s="1" t="s">
        <v>56</v>
      </c>
      <c r="D23" t="s">
        <v>79</v>
      </c>
      <c r="E23" s="1" t="s">
        <v>58</v>
      </c>
      <c r="F23" s="1" t="s">
        <v>106</v>
      </c>
      <c r="H23">
        <v>255</v>
      </c>
      <c r="I23">
        <v>255</v>
      </c>
      <c r="J23">
        <v>255</v>
      </c>
      <c r="K23">
        <v>1</v>
      </c>
      <c r="L23" s="1">
        <v>0</v>
      </c>
      <c r="M23">
        <v>200</v>
      </c>
      <c r="N23">
        <f t="shared" si="0"/>
        <v>76675199.8489495</v>
      </c>
      <c r="O23">
        <f t="shared" si="1"/>
        <v>6000</v>
      </c>
      <c r="P23">
        <f t="shared" si="2"/>
        <v>2500000</v>
      </c>
      <c r="Q23">
        <v>1</v>
      </c>
      <c r="R23">
        <v>600</v>
      </c>
      <c r="S23">
        <v>1000</v>
      </c>
      <c r="T23" s="1" t="s">
        <v>107</v>
      </c>
      <c r="U23" s="1" t="s">
        <v>61</v>
      </c>
      <c r="Y23" s="1">
        <f t="shared" si="3"/>
        <v>0.25</v>
      </c>
    </row>
    <row r="24" ht="17" customHeight="1" spans="1:25">
      <c r="A24" t="s">
        <v>117</v>
      </c>
      <c r="B24" s="2" t="s">
        <v>55</v>
      </c>
      <c r="C24" s="1" t="s">
        <v>56</v>
      </c>
      <c r="D24" t="s">
        <v>79</v>
      </c>
      <c r="E24" s="1" t="s">
        <v>58</v>
      </c>
      <c r="F24" s="1" t="s">
        <v>106</v>
      </c>
      <c r="H24">
        <v>255</v>
      </c>
      <c r="I24">
        <v>255</v>
      </c>
      <c r="J24">
        <v>255</v>
      </c>
      <c r="K24">
        <v>1</v>
      </c>
      <c r="L24" s="1">
        <v>0</v>
      </c>
      <c r="M24">
        <v>200</v>
      </c>
      <c r="N24">
        <f t="shared" si="0"/>
        <v>92010239.8187394</v>
      </c>
      <c r="O24">
        <f t="shared" si="1"/>
        <v>6200</v>
      </c>
      <c r="P24">
        <f t="shared" si="2"/>
        <v>2600000</v>
      </c>
      <c r="Q24">
        <v>1</v>
      </c>
      <c r="R24">
        <v>600</v>
      </c>
      <c r="S24">
        <v>1000</v>
      </c>
      <c r="T24" s="1" t="s">
        <v>107</v>
      </c>
      <c r="U24" s="1" t="s">
        <v>61</v>
      </c>
      <c r="Y24" s="1">
        <f t="shared" si="3"/>
        <v>0.26</v>
      </c>
    </row>
    <row r="25" ht="17" customHeight="1" spans="1:25">
      <c r="A25" t="s">
        <v>118</v>
      </c>
      <c r="B25" s="2" t="s">
        <v>55</v>
      </c>
      <c r="C25" s="1" t="s">
        <v>56</v>
      </c>
      <c r="D25" t="s">
        <v>79</v>
      </c>
      <c r="E25" s="1" t="s">
        <v>58</v>
      </c>
      <c r="F25" s="1" t="s">
        <v>106</v>
      </c>
      <c r="H25">
        <v>255</v>
      </c>
      <c r="I25">
        <v>255</v>
      </c>
      <c r="J25">
        <v>255</v>
      </c>
      <c r="K25">
        <v>1</v>
      </c>
      <c r="L25" s="1">
        <v>0</v>
      </c>
      <c r="M25">
        <v>200</v>
      </c>
      <c r="N25">
        <f t="shared" si="0"/>
        <v>110412287.782487</v>
      </c>
      <c r="O25">
        <f t="shared" si="1"/>
        <v>6400</v>
      </c>
      <c r="P25">
        <f t="shared" si="2"/>
        <v>2700000</v>
      </c>
      <c r="Q25">
        <v>1</v>
      </c>
      <c r="R25">
        <v>600</v>
      </c>
      <c r="S25">
        <v>1000</v>
      </c>
      <c r="T25" s="1" t="s">
        <v>107</v>
      </c>
      <c r="U25" s="1" t="s">
        <v>61</v>
      </c>
      <c r="Y25" s="1">
        <f t="shared" si="3"/>
        <v>0.27</v>
      </c>
    </row>
    <row r="26" ht="17" customHeight="1" spans="1:25">
      <c r="A26" t="s">
        <v>119</v>
      </c>
      <c r="B26" s="2" t="s">
        <v>55</v>
      </c>
      <c r="C26" s="1" t="s">
        <v>56</v>
      </c>
      <c r="D26" t="s">
        <v>79</v>
      </c>
      <c r="E26" s="1" t="s">
        <v>58</v>
      </c>
      <c r="F26" s="1" t="s">
        <v>106</v>
      </c>
      <c r="H26">
        <v>255</v>
      </c>
      <c r="I26">
        <v>255</v>
      </c>
      <c r="J26">
        <v>255</v>
      </c>
      <c r="K26">
        <v>1</v>
      </c>
      <c r="L26" s="1">
        <v>0</v>
      </c>
      <c r="M26">
        <v>200</v>
      </c>
      <c r="N26">
        <f t="shared" si="0"/>
        <v>132494745.338985</v>
      </c>
      <c r="O26">
        <f t="shared" si="1"/>
        <v>6600</v>
      </c>
      <c r="P26">
        <f t="shared" si="2"/>
        <v>2800000</v>
      </c>
      <c r="Q26">
        <v>1</v>
      </c>
      <c r="R26">
        <v>600</v>
      </c>
      <c r="S26">
        <v>1000</v>
      </c>
      <c r="T26" s="1" t="s">
        <v>107</v>
      </c>
      <c r="U26" s="1" t="s">
        <v>61</v>
      </c>
      <c r="Y26" s="1">
        <f t="shared" si="3"/>
        <v>0.28</v>
      </c>
    </row>
    <row r="27" ht="17" customHeight="1" spans="1:25">
      <c r="A27" t="s">
        <v>120</v>
      </c>
      <c r="B27" s="2" t="s">
        <v>55</v>
      </c>
      <c r="C27" s="1" t="s">
        <v>56</v>
      </c>
      <c r="D27" t="s">
        <v>79</v>
      </c>
      <c r="E27" s="1" t="s">
        <v>58</v>
      </c>
      <c r="F27" s="1" t="s">
        <v>106</v>
      </c>
      <c r="H27">
        <v>255</v>
      </c>
      <c r="I27">
        <v>255</v>
      </c>
      <c r="J27">
        <v>255</v>
      </c>
      <c r="K27">
        <v>1</v>
      </c>
      <c r="L27" s="1">
        <v>0</v>
      </c>
      <c r="M27">
        <v>200</v>
      </c>
      <c r="N27">
        <f t="shared" si="0"/>
        <v>158993694.406782</v>
      </c>
      <c r="O27">
        <f t="shared" si="1"/>
        <v>6800</v>
      </c>
      <c r="P27">
        <f t="shared" si="2"/>
        <v>2900000</v>
      </c>
      <c r="Q27">
        <v>1</v>
      </c>
      <c r="R27">
        <v>600</v>
      </c>
      <c r="S27">
        <v>1000</v>
      </c>
      <c r="T27" s="1" t="s">
        <v>107</v>
      </c>
      <c r="U27" s="1" t="s">
        <v>61</v>
      </c>
      <c r="Y27" s="1">
        <f t="shared" si="3"/>
        <v>0.29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深度海域怪.ts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2023-11-26T10:10:00Z</dcterms:created>
  <dcterms:modified xsi:type="dcterms:W3CDTF">2024-01-17T08:47:57Z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CD14D8EECDB94105A96100BDC28FDCE4_13</vt:lpwstr>
  </property>
  <property fmtid="{D5CDD505-2E9C-101B-9397-08002B2CF9AE}" pid="4" name="KSOReadingLayout">
    <vt:bool>true</vt:bool>
  </property>
</Properties>
</file>